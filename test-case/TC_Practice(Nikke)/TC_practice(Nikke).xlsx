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ng6\OneDrive\바탕 화면\취업관련\Excel\"/>
    </mc:Choice>
  </mc:AlternateContent>
  <xr:revisionPtr revIDLastSave="0" documentId="13_ncr:1_{57DE2709-7FC3-41DF-A742-3EE668C45C5C}" xr6:coauthVersionLast="47" xr6:coauthVersionMax="47" xr10:uidLastSave="{00000000-0000-0000-0000-000000000000}"/>
  <bookViews>
    <workbookView xWindow="-120" yWindow="-120" windowWidth="38640" windowHeight="21120" xr2:uid="{8C21FCBC-E104-45C1-AD2F-213E991030A1}"/>
  </bookViews>
  <sheets>
    <sheet name="요약" sheetId="2" r:id="rId1"/>
    <sheet name="로비" sheetId="1" r:id="rId2"/>
    <sheet name="이벤트페이지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2" l="1"/>
  <c r="J11" i="2"/>
  <c r="I11" i="2"/>
  <c r="H11" i="2"/>
  <c r="G11" i="2"/>
  <c r="F11" i="2"/>
  <c r="K10" i="2"/>
  <c r="J10" i="2"/>
  <c r="L10" i="2" s="1"/>
  <c r="I10" i="2"/>
  <c r="H10" i="2"/>
  <c r="G10" i="2"/>
  <c r="F10" i="2"/>
  <c r="M10" i="2" s="1"/>
  <c r="L11" i="2" l="1"/>
  <c r="M11" i="2"/>
</calcChain>
</file>

<file path=xl/sharedStrings.xml><?xml version="1.0" encoding="utf-8"?>
<sst xmlns="http://schemas.openxmlformats.org/spreadsheetml/2006/main" count="852" uniqueCount="181">
  <si>
    <t>No.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</si>
  <si>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</si>
  <si>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</si>
  <si>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</si>
  <si>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</si>
  <si>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</si>
  <si>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기대결과</t>
    <phoneticPr fontId="1" type="noConversion"/>
  </si>
  <si>
    <t>결과</t>
    <phoneticPr fontId="1" type="noConversion"/>
  </si>
  <si>
    <t>BTS</t>
    <phoneticPr fontId="1" type="noConversion"/>
  </si>
  <si>
    <t>비고</t>
    <phoneticPr fontId="1" type="noConversion"/>
  </si>
  <si>
    <t>버전</t>
    <phoneticPr fontId="1" type="noConversion"/>
  </si>
  <si>
    <t>날짜</t>
    <phoneticPr fontId="1" type="noConversion"/>
  </si>
  <si>
    <t>로비</t>
    <phoneticPr fontId="1" type="noConversion"/>
  </si>
  <si>
    <t>프로필</t>
    <phoneticPr fontId="1" type="noConversion"/>
  </si>
  <si>
    <t>테두리</t>
    <phoneticPr fontId="1" type="noConversion"/>
  </si>
  <si>
    <t>초상화</t>
    <phoneticPr fontId="1" type="noConversion"/>
  </si>
  <si>
    <t>레벨</t>
    <phoneticPr fontId="1" type="noConversion"/>
  </si>
  <si>
    <t>닉네임</t>
    <phoneticPr fontId="1" type="noConversion"/>
  </si>
  <si>
    <t>로비 진입 상태</t>
    <phoneticPr fontId="1" type="noConversion"/>
  </si>
  <si>
    <t>프로필 터치</t>
    <phoneticPr fontId="1" type="noConversion"/>
  </si>
  <si>
    <t>프로필 상세 정보 팝업창 출력</t>
    <phoneticPr fontId="1" type="noConversion"/>
  </si>
  <si>
    <t>테두리 출력</t>
    <phoneticPr fontId="1" type="noConversion"/>
  </si>
  <si>
    <t>초상화 출력</t>
    <phoneticPr fontId="1" type="noConversion"/>
  </si>
  <si>
    <t>레벨 출력
 -Lv 000</t>
    <phoneticPr fontId="1" type="noConversion"/>
  </si>
  <si>
    <t>닉네임 출력
 -검은색 투명 바탕, 흰색 폰트</t>
    <phoneticPr fontId="1" type="noConversion"/>
  </si>
  <si>
    <t>Pass</t>
  </si>
  <si>
    <t>Fail</t>
  </si>
  <si>
    <t>Not Test</t>
  </si>
  <si>
    <t>N/A</t>
  </si>
  <si>
    <t>Block</t>
  </si>
  <si>
    <t>2026.7.2</t>
  </si>
  <si>
    <t>2026.7.2</t>
    <phoneticPr fontId="1" type="noConversion"/>
  </si>
  <si>
    <t>2026.7.10</t>
  </si>
  <si>
    <t>2026.7.10</t>
    <phoneticPr fontId="1" type="noConversion"/>
  </si>
  <si>
    <t>재화</t>
    <phoneticPr fontId="1" type="noConversion"/>
  </si>
  <si>
    <t>쥬얼</t>
    <phoneticPr fontId="1" type="noConversion"/>
  </si>
  <si>
    <t>아이콘</t>
    <phoneticPr fontId="1" type="noConversion"/>
  </si>
  <si>
    <t>수량</t>
    <phoneticPr fontId="1" type="noConversion"/>
  </si>
  <si>
    <t>쥬얼 아이콘 출력</t>
    <phoneticPr fontId="1" type="noConversion"/>
  </si>
  <si>
    <t>쥬얼 아이콘 터치</t>
    <phoneticPr fontId="1" type="noConversion"/>
  </si>
  <si>
    <t>쥬얼 상세 정보 팝업창 출력</t>
    <phoneticPr fontId="1" type="noConversion"/>
  </si>
  <si>
    <t>1. 로비 진입 상태
2. 쥬얼 상세 정보 팝업창 출력 상태</t>
  </si>
  <si>
    <t>1. 로비 진입 상태
2. 쥬얼 상세 정보 팝업창 출력 상태</t>
    <phoneticPr fontId="1" type="noConversion"/>
  </si>
  <si>
    <t>프로필 테두리 출력 확인
- 좌측 상단</t>
    <phoneticPr fontId="1" type="noConversion"/>
  </si>
  <si>
    <t>프로필 초상화 출력 확인
- 좌측 상단</t>
    <phoneticPr fontId="1" type="noConversion"/>
  </si>
  <si>
    <t>프로필 레벨 출력 확인
- 좌측 상단</t>
    <phoneticPr fontId="1" type="noConversion"/>
  </si>
  <si>
    <t>프로필 닉네임 출력 확인
- 좌측 상단</t>
    <phoneticPr fontId="1" type="noConversion"/>
  </si>
  <si>
    <t>쥬얼 아이콘 출력 확인
 - 중앙 상단</t>
    <phoneticPr fontId="1" type="noConversion"/>
  </si>
  <si>
    <t>[X] 버튼 출력 확인
 - 우측 상단</t>
    <phoneticPr fontId="1" type="noConversion"/>
  </si>
  <si>
    <t>[X] 버튼 출력</t>
    <phoneticPr fontId="1" type="noConversion"/>
  </si>
  <si>
    <t>[X] 버튼 터치</t>
    <phoneticPr fontId="1" type="noConversion"/>
  </si>
  <si>
    <t>쥬얼 상세 정보 팝업창이 닫힘</t>
    <phoneticPr fontId="1" type="noConversion"/>
  </si>
  <si>
    <t>쥬얼 아이콘 출력 확인</t>
    <phoneticPr fontId="1" type="noConversion"/>
  </si>
  <si>
    <t>쥬얼 수량 출력 확인
 - 아이콘 우측 하단</t>
    <phoneticPr fontId="1" type="noConversion"/>
  </si>
  <si>
    <t>쥬얼 이름 출력 확인
 - 아이콘 하단</t>
    <phoneticPr fontId="1" type="noConversion"/>
  </si>
  <si>
    <t>쥬얼 이름 출력
 - 쥬얼</t>
    <phoneticPr fontId="1" type="noConversion"/>
  </si>
  <si>
    <t>쥬얼 보유 수 출력 확인
 - 쥬얼 이름 하단</t>
    <phoneticPr fontId="1" type="noConversion"/>
  </si>
  <si>
    <t>쥬얼 보유 수 출력
 - 보유 수 (무료: nnnnn, 유료: nnnnn)</t>
    <phoneticPr fontId="1" type="noConversion"/>
  </si>
  <si>
    <t>쥬얼 아이템 설명 출력 확인
 - 쥬얼 보유 수 하단</t>
    <phoneticPr fontId="1" type="noConversion"/>
  </si>
  <si>
    <t xml:space="preserve">쥬얼 아이템 설명 출력
 - 높은 가치를 가지는 보석입니다.
 - 세상이 망해도 보석의 가치는 빛을 잃지 않는군요.
 - 쥬얼을 사용하여 모집 혹은 구매 시 무료 쥬얼을 먼저 사용합니다.
 - 무료 쥬얼 부족 시, 유료 쥬얼을 자동으로 사용합니다. </t>
    <phoneticPr fontId="1" type="noConversion"/>
  </si>
  <si>
    <t>[확인] 버튼 출력 확인
 - 하단</t>
    <phoneticPr fontId="1" type="noConversion"/>
  </si>
  <si>
    <t>[확인] 버튼 출력</t>
    <phoneticPr fontId="1" type="noConversion"/>
  </si>
  <si>
    <t>[확인] 버튼 터치</t>
    <phoneticPr fontId="1" type="noConversion"/>
  </si>
  <si>
    <t>Pass</t>
    <phoneticPr fontId="1" type="noConversion"/>
  </si>
  <si>
    <t>쥬얼 보유 수량 출력 확인
 - 쥬얼 아이콘 우측</t>
    <phoneticPr fontId="1" type="noConversion"/>
  </si>
  <si>
    <t>쥬얼 보유 수량 출력
 - nn,nnn</t>
    <phoneticPr fontId="1" type="noConversion"/>
  </si>
  <si>
    <t>+</t>
    <phoneticPr fontId="1" type="noConversion"/>
  </si>
  <si>
    <t>[+] 버튼 출력 확인
 - 쥬얼 수량 우측</t>
    <phoneticPr fontId="1" type="noConversion"/>
  </si>
  <si>
    <t>쥬얼 수량 출력
 - xnnnnn</t>
    <phoneticPr fontId="1" type="noConversion"/>
  </si>
  <si>
    <t>[+] 버튼 출력</t>
    <phoneticPr fontId="1" type="noConversion"/>
  </si>
  <si>
    <t>[+] 버튼 터치</t>
    <phoneticPr fontId="1" type="noConversion"/>
  </si>
  <si>
    <t>쥬얼 상점 화면으로 이동</t>
    <phoneticPr fontId="1" type="noConversion"/>
  </si>
  <si>
    <t>크레디트</t>
    <phoneticPr fontId="1" type="noConversion"/>
  </si>
  <si>
    <t>1. 로비 진입 상태
2. 크레디트 상세 정보 팝업창 출력 상태</t>
  </si>
  <si>
    <t>1. 로비 진입 상태
2. 크레디트 상세 정보 팝업창 출력 상태</t>
    <phoneticPr fontId="1" type="noConversion"/>
  </si>
  <si>
    <t>크레디트 아이콘 출력 확인
 - 중앙 상단</t>
    <phoneticPr fontId="1" type="noConversion"/>
  </si>
  <si>
    <t>크레디트 아이콘 출력</t>
    <phoneticPr fontId="1" type="noConversion"/>
  </si>
  <si>
    <t>크레디트 아이콘 터치</t>
    <phoneticPr fontId="1" type="noConversion"/>
  </si>
  <si>
    <t>크레디트 상세 정보 팝업창 출력</t>
    <phoneticPr fontId="1" type="noConversion"/>
  </si>
  <si>
    <t>크레디트 상세 정보 팝업창이 닫힘</t>
    <phoneticPr fontId="1" type="noConversion"/>
  </si>
  <si>
    <t>크레디트 아이콘 출력 확인</t>
    <phoneticPr fontId="1" type="noConversion"/>
  </si>
  <si>
    <t>크레디트 수량 출력 확인
 - 아이콘 우측 하단</t>
    <phoneticPr fontId="1" type="noConversion"/>
  </si>
  <si>
    <t>크레디트 수량 출력
 - xnnnnn K</t>
    <phoneticPr fontId="1" type="noConversion"/>
  </si>
  <si>
    <t>크레디트 이름 출력 확인
 - 아이콘 하단</t>
    <phoneticPr fontId="1" type="noConversion"/>
  </si>
  <si>
    <t>크레디트 이름 출력
 - 크레디트</t>
    <phoneticPr fontId="1" type="noConversion"/>
  </si>
  <si>
    <t>크레디트 보유 수 출력 확인
 - 크레디트 이름 하단</t>
    <phoneticPr fontId="1" type="noConversion"/>
  </si>
  <si>
    <t>크레디트 보유 수 출력
 - 보유 수: nnnnnnnn</t>
    <phoneticPr fontId="1" type="noConversion"/>
  </si>
  <si>
    <t>크레디트 아이템 설명 출력 확인
 - 크레디트 보유 수 하단</t>
    <phoneticPr fontId="1" type="noConversion"/>
  </si>
  <si>
    <t>크레디트 아이템 설명 출력
 - 방주 내에서 통용되는 화폐입니다.
 - 요약하자면 돈입니다.</t>
    <phoneticPr fontId="1" type="noConversion"/>
  </si>
  <si>
    <t>쥬얼 상세 정보 팝업창 외부 터치</t>
    <phoneticPr fontId="1" type="noConversion"/>
  </si>
  <si>
    <t>크레디트 상세 정보 팝업창 외부 터치</t>
    <phoneticPr fontId="1" type="noConversion"/>
  </si>
  <si>
    <t>크레디트 보유 수량 출력 확인
 - 크레디트 아이콘 우측</t>
    <phoneticPr fontId="1" type="noConversion"/>
  </si>
  <si>
    <t>크레디트 보유 수량 출력
 - nnnnn K</t>
    <phoneticPr fontId="1" type="noConversion"/>
  </si>
  <si>
    <t>이벤트</t>
    <phoneticPr fontId="1" type="noConversion"/>
  </si>
  <si>
    <t>메뉴</t>
    <phoneticPr fontId="1" type="noConversion"/>
  </si>
  <si>
    <t>[이벤트] 버튼 출력 확인</t>
    <phoneticPr fontId="1" type="noConversion"/>
  </si>
  <si>
    <t>[이벤트] 버튼 출력</t>
    <phoneticPr fontId="1" type="noConversion"/>
  </si>
  <si>
    <t>이벤트 메뉴 텍스트 출력 확인
 - 이벤트 아이콘 하단</t>
    <phoneticPr fontId="1" type="noConversion"/>
  </si>
  <si>
    <t>이벤트 메뉴 텍스트 출력
 - 이벤트</t>
    <phoneticPr fontId="1" type="noConversion"/>
  </si>
  <si>
    <t>이벤트 메뉴 터치</t>
    <phoneticPr fontId="1" type="noConversion"/>
  </si>
  <si>
    <t>이벤트 페이지</t>
    <phoneticPr fontId="1" type="noConversion"/>
  </si>
  <si>
    <t>이벤트 페이지 진입</t>
    <phoneticPr fontId="1" type="noConversion"/>
  </si>
  <si>
    <t>이벤트 페이지 진입 상태</t>
    <phoneticPr fontId="1" type="noConversion"/>
  </si>
  <si>
    <t>1. 이벤트 페이지 진입 상태
2. 쥬얼 상세 정보 팝업창 출력 상태</t>
    <phoneticPr fontId="1" type="noConversion"/>
  </si>
  <si>
    <t>이벤트 페이지 텍스트 출력
 - 이벤트 페이지</t>
    <phoneticPr fontId="1" type="noConversion"/>
  </si>
  <si>
    <t>이벤트 페이지 텍스트 출력 확인
 - 좌측 상단</t>
    <phoneticPr fontId="1" type="noConversion"/>
  </si>
  <si>
    <t>1. 이벤트 페이지 진입 상태
2. 크레디트 상세 정보 팝업창 출력 상태</t>
    <phoneticPr fontId="1" type="noConversion"/>
  </si>
  <si>
    <t>메일함</t>
    <phoneticPr fontId="1" type="noConversion"/>
  </si>
  <si>
    <t>메일함 아이콘 출력 확인
 - 우측 상단</t>
    <phoneticPr fontId="1" type="noConversion"/>
  </si>
  <si>
    <t>메일함 아이콘 출력</t>
    <phoneticPr fontId="1" type="noConversion"/>
  </si>
  <si>
    <t>메일함 아이콘 터치</t>
    <phoneticPr fontId="1" type="noConversion"/>
  </si>
  <si>
    <t>메일함 팝업창 출력</t>
    <phoneticPr fontId="1" type="noConversion"/>
  </si>
  <si>
    <t>1. 이벤트 페이지 진입 상태
2. 메일함 팝업창 출력 상태</t>
    <phoneticPr fontId="1" type="noConversion"/>
  </si>
  <si>
    <t>메일함 텍스트 출력 확인
 - 메일 아이콘 우측</t>
    <phoneticPr fontId="1" type="noConversion"/>
  </si>
  <si>
    <t>메일함 텍스트 출력
 - 메일함</t>
    <phoneticPr fontId="1" type="noConversion"/>
  </si>
  <si>
    <t>메일함 팝업창이 닫힘</t>
    <phoneticPr fontId="1" type="noConversion"/>
  </si>
  <si>
    <t>메일함 아이콘 출력 확인
 - 중앙 상단</t>
    <phoneticPr fontId="1" type="noConversion"/>
  </si>
  <si>
    <t>메일함 애니메이션 재생 확인
 - 중앙 상단</t>
    <phoneticPr fontId="1" type="noConversion"/>
  </si>
  <si>
    <t>메일함 애니메이션 재생</t>
    <phoneticPr fontId="1" type="noConversion"/>
  </si>
  <si>
    <t>메일 개수 출력 확인
 - 메일함 애니메이션 우측</t>
    <phoneticPr fontId="1" type="noConversion"/>
  </si>
  <si>
    <t>메일 개수 출력
 - n/99</t>
    <phoneticPr fontId="1" type="noConversion"/>
  </si>
  <si>
    <t>메일함 새로고침 버튼 출력 확인
 - 메일 개수 우측</t>
    <phoneticPr fontId="1" type="noConversion"/>
  </si>
  <si>
    <t>메일함 새로고침 버튼 출력</t>
    <phoneticPr fontId="1" type="noConversion"/>
  </si>
  <si>
    <t>메일함 새로고침 버튼 터치</t>
    <phoneticPr fontId="1" type="noConversion"/>
  </si>
  <si>
    <t>메일함 갱신
 - 메일함이 갱신되었습니다.</t>
    <phoneticPr fontId="1" type="noConversion"/>
  </si>
  <si>
    <t>메일함 안내 문구 출력 확인
 - 메일함 애니메이션 하단</t>
    <phoneticPr fontId="1" type="noConversion"/>
  </si>
  <si>
    <t>메일함 안내 문구 출력
 - 보관 한도 초과 시, 가장 오래된 메일부터 삭제됩니다.</t>
    <phoneticPr fontId="1" type="noConversion"/>
  </si>
  <si>
    <t>1. 이벤트 페이지 진입 상태
2. 메일함 팝업창 출력 상태
3. 삭제하지 않은 메일이 존재하는 상태</t>
    <phoneticPr fontId="1" type="noConversion"/>
  </si>
  <si>
    <t>1. 이벤트 페이지 진입 상태
2. 메일함 팝업창 출력 상태
3. 삭제하지 않은 메일이 존재하는 상태
4. 보낸 사람 이미지가 존재하는 상태</t>
    <phoneticPr fontId="1" type="noConversion"/>
  </si>
  <si>
    <t>보낸 사람 이미지 출력 확인
 - 메일 좌측</t>
    <phoneticPr fontId="1" type="noConversion"/>
  </si>
  <si>
    <t>보낸 사람 이미지 출력</t>
    <phoneticPr fontId="1" type="noConversion"/>
  </si>
  <si>
    <t>메일 정보 출력 확인
 - 날짜, 만료일, 제목, 보낸 사람</t>
    <phoneticPr fontId="1" type="noConversion"/>
  </si>
  <si>
    <t>메일 정보 출력
 - nnnn-nn-nn  nn일 후 만료
 - 제목
 - From. 보낸 사람</t>
    <phoneticPr fontId="1" type="noConversion"/>
  </si>
  <si>
    <t>아이템 아이콘 출력 확인</t>
    <phoneticPr fontId="1" type="noConversion"/>
  </si>
  <si>
    <t>아이템 아이콘 출력</t>
    <phoneticPr fontId="1" type="noConversion"/>
  </si>
  <si>
    <t>아이템 아이콘 터치</t>
    <phoneticPr fontId="1" type="noConversion"/>
  </si>
  <si>
    <t>아이템 상세 정보 팝업창 출력</t>
    <phoneticPr fontId="1" type="noConversion"/>
  </si>
  <si>
    <t>[받기] 버튼 출력</t>
    <phoneticPr fontId="1" type="noConversion"/>
  </si>
  <si>
    <t>[받기] 버튼 출력 확인
 - 아이템 아이콘 하단</t>
    <phoneticPr fontId="1" type="noConversion"/>
  </si>
  <si>
    <t>[받기] 버튼 터치</t>
    <phoneticPr fontId="1" type="noConversion"/>
  </si>
  <si>
    <t>아이템 수령</t>
    <phoneticPr fontId="1" type="noConversion"/>
  </si>
  <si>
    <t>1. 이벤트 페이지 진입 상태
2. 메일함 팝업창 출력 상태
3. 삭제하지 않은 메일이 존재하는 상태
4. 메일에 아이템이 포함된 상태
5. 아이템을 받지 않은 상태</t>
    <phoneticPr fontId="1" type="noConversion"/>
  </si>
  <si>
    <t>1. 이벤트 페이지 진입 상태
2. 메일함 팝업창 출력 상태
3. 삭제하지 않은 메일이 존재하는 상태
4. 메일에 아이템이 포함된 상태</t>
    <phoneticPr fontId="1" type="noConversion"/>
  </si>
  <si>
    <t>1. 이벤트 페이지 진입 상태
2. 메일함 팝업창 출력 상태
3. 삭제하지 않은 메일이 존재하는 상태
4. 메일에 아이템이 포함된 상태
5. 아이템을 받은 상태</t>
    <phoneticPr fontId="1" type="noConversion"/>
  </si>
  <si>
    <t>[수령 완료] 버튼 출력 확인
 - 아이템 아이콘 하단</t>
    <phoneticPr fontId="1" type="noConversion"/>
  </si>
  <si>
    <t>[수령 완료] 버튼 출력</t>
    <phoneticPr fontId="1" type="noConversion"/>
  </si>
  <si>
    <t>[수령 완료] 버튼 터치</t>
    <phoneticPr fontId="1" type="noConversion"/>
  </si>
  <si>
    <t>지정된 텍스트 출력
 - 이미 보상을 받았습니다.</t>
    <phoneticPr fontId="1" type="noConversion"/>
  </si>
  <si>
    <t>받은 메일 터치</t>
    <phoneticPr fontId="1" type="noConversion"/>
  </si>
  <si>
    <t>메일 상세 내용 팝업창 출력</t>
    <phoneticPr fontId="1" type="noConversion"/>
  </si>
  <si>
    <t>메일 삭제 버튼 출력 확인
 - 중앙 하단</t>
    <phoneticPr fontId="1" type="noConversion"/>
  </si>
  <si>
    <t>메일 삭제 버튼 출력</t>
    <phoneticPr fontId="1" type="noConversion"/>
  </si>
  <si>
    <t>[모두 받기] 버튼 출력 확인
 - 메일 삭제 버튼 우측</t>
    <phoneticPr fontId="1" type="noConversion"/>
  </si>
  <si>
    <t>[모두 받기] 버튼 출력</t>
    <phoneticPr fontId="1" type="noConversion"/>
  </si>
  <si>
    <t>메일 삭제 버튼 터치</t>
    <phoneticPr fontId="1" type="noConversion"/>
  </si>
  <si>
    <t>메일 삭제 공지 팝업창 출력
 - 읽은 메일을 모두 삭제하시겠습니까?</t>
    <phoneticPr fontId="1" type="noConversion"/>
  </si>
  <si>
    <t>1. 이벤트 페이지 진입 상태
2. 메일함 팝업창 출력 상태
3. 삭제하지 않은 메일이 존재하는 상태
4. 메일 삭제 공지 팝업창 출력 상태</t>
    <phoneticPr fontId="1" type="noConversion"/>
  </si>
  <si>
    <t>[취소] 버튼 출력 확인
 - 공지 좌측 하단</t>
    <phoneticPr fontId="1" type="noConversion"/>
  </si>
  <si>
    <t>[취소] 버튼 출력</t>
    <phoneticPr fontId="1" type="noConversion"/>
  </si>
  <si>
    <t>[취소] 버튼 터치</t>
    <phoneticPr fontId="1" type="noConversion"/>
  </si>
  <si>
    <t>메일 삭제 공지 팝업창이 닫힘</t>
    <phoneticPr fontId="1" type="noConversion"/>
  </si>
  <si>
    <t>[확인] 버튼 출력 확인
 - [취소] 버튼 우측</t>
    <phoneticPr fontId="1" type="noConversion"/>
  </si>
  <si>
    <t>읽은 메일이 모두 삭제됨
 - 읽은 메일을 삭제했습니다.</t>
    <phoneticPr fontId="1" type="noConversion"/>
  </si>
  <si>
    <t>1. 이벤트 페이지 진입 상태
2. 메일함 팝업창 출력 상태
3. 받은 메일이 없는 상태</t>
    <phoneticPr fontId="1" type="noConversion"/>
  </si>
  <si>
    <t>받은 메일이 없을 때 텍스트 출력 확인
 - 메일함 중앙</t>
    <phoneticPr fontId="1" type="noConversion"/>
  </si>
  <si>
    <t>받은 메일이 없을 때 텍스트 출력
 - 수신된 메시지가 없습니다.</t>
    <phoneticPr fontId="1" type="noConversion"/>
  </si>
  <si>
    <t>[모두 받기] 버튼 터치</t>
    <phoneticPr fontId="1" type="noConversion"/>
  </si>
  <si>
    <t>1. 이벤트 페이지 진입 상태
2. 메일함 팝업창 출력 상태
3. 받지 않은 아이템이 포함된 메일이 없는 상태</t>
    <phoneticPr fontId="1" type="noConversion"/>
  </si>
  <si>
    <t>알림 메시지 출력
 - 받을 수 있는 보상이 없습니다.</t>
    <phoneticPr fontId="1" type="noConversion"/>
  </si>
  <si>
    <t>메일함 팝업창 외부 터치</t>
    <phoneticPr fontId="1" type="noConversion"/>
  </si>
  <si>
    <t>Test Report</t>
    <phoneticPr fontId="1" type="noConversion"/>
  </si>
  <si>
    <t>테스트 요약</t>
    <phoneticPr fontId="1" type="noConversion"/>
  </si>
  <si>
    <t>테스트 항목</t>
    <phoneticPr fontId="1" type="noConversion"/>
  </si>
  <si>
    <t>Fail</t>
    <phoneticPr fontId="1" type="noConversion"/>
  </si>
  <si>
    <t>Block</t>
    <phoneticPr fontId="1" type="noConversion"/>
  </si>
  <si>
    <t>N/A</t>
    <phoneticPr fontId="1" type="noConversion"/>
  </si>
  <si>
    <t>N/T</t>
    <phoneticPr fontId="1" type="noConversion"/>
  </si>
  <si>
    <t>Total</t>
    <phoneticPr fontId="1" type="noConversion"/>
  </si>
  <si>
    <t>진행률</t>
    <phoneticPr fontId="1" type="noConversion"/>
  </si>
  <si>
    <t>성공률</t>
    <phoneticPr fontId="1" type="noConversion"/>
  </si>
  <si>
    <t>이벤트 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</si>
</sst>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8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/>
      </left>
      <right/>
      <top style="thin">
        <color auto="1"/>
      </top>
      <bottom/>
      <diagonal/>
    </border>
    <border>
      <left style="thin">
        <color theme="4"/>
      </left>
      <right style="thin">
        <color auto="1"/>
      </right>
      <top style="thin">
        <color auto="1"/>
      </top>
      <bottom/>
      <diagonal/>
    </border>
    <border>
      <left style="thin">
        <color theme="4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theme="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vertical="center" wrapText="1"/>
    </xf>
    <xf numFmtId="0" fontId="8" fillId="3" borderId="12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0" borderId="15" xfId="0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Continuous" vertical="center"/>
    </xf>
    <xf numFmtId="0" fontId="9" fillId="4" borderId="19" xfId="0" applyFont="1" applyFill="1" applyBorder="1" applyAlignment="1">
      <alignment horizontal="centerContinuous" vertical="center"/>
    </xf>
    <xf numFmtId="0" fontId="9" fillId="4" borderId="20" xfId="0" applyFont="1" applyFill="1" applyBorder="1" applyAlignment="1">
      <alignment horizontal="centerContinuous" vertical="center"/>
    </xf>
  </cellXfs>
  <cellStyles count="1">
    <cellStyle name="표준" xfId="0" builtinId="0"/>
  </cellStyles>
  <dxfs count="75"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fill>
        <patternFill>
          <bgColor rgb="FF00B0F0"/>
        </patternFill>
      </fill>
    </dxf>
    <dxf>
      <font>
        <color theme="0"/>
      </font>
      <fill>
        <patternFill>
          <bgColor rgb="FFFE6666"/>
        </patternFill>
      </fill>
    </dxf>
    <dxf>
      <font>
        <b/>
        <i val="0"/>
      </font>
      <fill>
        <patternFill>
          <bgColor theme="1" tint="4.9989318521683403E-2"/>
        </patternFill>
      </fill>
    </dxf>
    <dxf>
      <fill>
        <patternFill>
          <bgColor rgb="FFFA9B4C"/>
        </patternFill>
      </fill>
    </dxf>
    <dxf>
      <font>
        <color theme="1" tint="0.14996795556505021"/>
      </font>
      <fill>
        <patternFill>
          <bgColor theme="0" tint="-4.9989318521683403E-2"/>
        </patternFill>
      </fill>
    </dxf>
    <dxf>
      <numFmt numFmtId="180" formatCode=";;;"/>
      <border>
        <top/>
        <vertical/>
        <horizontal/>
      </border>
    </dxf>
    <dxf>
      <numFmt numFmtId="180" formatCode=";;;"/>
      <border>
        <top/>
        <vertical/>
        <horizontal/>
      </border>
    </dxf>
    <dxf>
      <fill>
        <patternFill>
          <bgColor rgb="FFFA9B4C"/>
        </patternFill>
      </fill>
    </dxf>
    <dxf>
      <font>
        <color theme="1" tint="0.14996795556505021"/>
      </font>
      <fill>
        <patternFill>
          <bgColor theme="0" tint="-4.9989318521683403E-2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E6666"/>
        </patternFill>
      </fill>
    </dxf>
    <dxf>
      <font>
        <b/>
        <i val="0"/>
      </font>
      <fill>
        <patternFill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theme="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맑은 고딕"/>
        <family val="2"/>
        <charset val="129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맑은 고딕"/>
        <family val="2"/>
        <charset val="129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colors>
    <mruColors>
      <color rgb="FFF58D4D"/>
      <color rgb="FFFA9B4C"/>
      <color rgb="FFFE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진행 현황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요약!$E$10</c:f>
              <c:strCache>
                <c:ptCount val="1"/>
                <c:pt idx="0">
                  <c:v>로비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요약!$F$9:$M$9</c15:sqref>
                  </c15:fullRef>
                </c:ext>
              </c:extLst>
              <c:f>요약!$L$9:$M$9</c:f>
              <c:strCache>
                <c:ptCount val="2"/>
                <c:pt idx="0">
                  <c:v>진행률</c:v>
                </c:pt>
                <c:pt idx="1">
                  <c:v>성공률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요약!$F$10:$M$10</c15:sqref>
                  </c15:fullRef>
                </c:ext>
              </c:extLst>
              <c:f>요약!$L$10:$M$10</c:f>
              <c:numCache>
                <c:formatCode>General</c:formatCode>
                <c:ptCount val="2"/>
                <c:pt idx="0" formatCode="0%">
                  <c:v>0.91666666666666663</c:v>
                </c:pt>
                <c:pt idx="1" formatCode="0%">
                  <c:v>0.75757575757575757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E-4E54-A5E1-6B12DE8F673F}"/>
            </c:ext>
          </c:extLst>
        </c:ser>
        <c:ser>
          <c:idx val="1"/>
          <c:order val="1"/>
          <c:tx>
            <c:strRef>
              <c:f>요약!$E$11</c:f>
              <c:strCache>
                <c:ptCount val="1"/>
                <c:pt idx="0">
                  <c:v>이벤트 페이지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요약!$F$9:$M$9</c15:sqref>
                  </c15:fullRef>
                </c:ext>
              </c:extLst>
              <c:f>요약!$L$9:$M$9</c:f>
              <c:strCache>
                <c:ptCount val="2"/>
                <c:pt idx="0">
                  <c:v>진행률</c:v>
                </c:pt>
                <c:pt idx="1">
                  <c:v>성공률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요약!$F$11:$M$11</c15:sqref>
                  </c15:fullRef>
                </c:ext>
              </c:extLst>
              <c:f>요약!$L$11:$M$11</c:f>
              <c:numCache>
                <c:formatCode>General</c:formatCode>
                <c:ptCount val="2"/>
                <c:pt idx="0" formatCode="0%">
                  <c:v>0.98305084745762716</c:v>
                </c:pt>
                <c:pt idx="1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E-4E54-A5E1-6B12DE8F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3876000"/>
        <c:axId val="119968785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요약!$E$12</c15:sqref>
                        </c15:formulaRef>
                      </c:ext>
                    </c:extLst>
                    <c:strCache>
                      <c:ptCount val="1"/>
                      <c:pt idx="0">
                        <c:v>이벤트 맵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요약!$F$12:$M$12</c15:sqref>
                        </c15:fullRef>
                        <c15:formulaRef>
                          <c15:sqref>요약!$L$12:$M$12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BCE-4E54-A5E1-6B12DE8F673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요약!$E$13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요약!$F$13:$M$13</c15:sqref>
                        </c15:fullRef>
                        <c15:formulaRef>
                          <c15:sqref>요약!$L$13:$M$13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BCE-4E54-A5E1-6B12DE8F673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요약!$E$14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요약!$F$14:$M$14</c15:sqref>
                        </c15:fullRef>
                        <c15:formulaRef>
                          <c15:sqref>요약!$L$14:$M$14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BCE-4E54-A5E1-6B12DE8F673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요약!$E$15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요약!$F$15:$M$15</c15:sqref>
                        </c15:fullRef>
                        <c15:formulaRef>
                          <c15:sqref>요약!$L$15:$M$15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BCE-4E54-A5E1-6B12DE8F673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요약!$E$16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요약!$F$16:$M$16</c15:sqref>
                        </c15:fullRef>
                        <c15:formulaRef>
                          <c15:sqref>요약!$L$16:$M$16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BCE-4E54-A5E1-6B12DE8F673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요약!$E$17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요약!$F$9:$M$9</c15:sqref>
                        </c15:fullRef>
                        <c15:formulaRef>
                          <c15:sqref>요약!$L$9:$M$9</c15:sqref>
                        </c15:formulaRef>
                      </c:ext>
                    </c:extLst>
                    <c:strCache>
                      <c:ptCount val="2"/>
                      <c:pt idx="0">
                        <c:v>진행률</c:v>
                      </c:pt>
                      <c:pt idx="1">
                        <c:v>성공률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요약!$F$17:$M$17</c15:sqref>
                        </c15:fullRef>
                        <c15:formulaRef>
                          <c15:sqref>요약!$L$17:$M$17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BCE-4E54-A5E1-6B12DE8F673F}"/>
                  </c:ext>
                </c:extLst>
              </c15:ser>
            </c15:filteredBarSeries>
          </c:ext>
        </c:extLst>
      </c:barChart>
      <c:catAx>
        <c:axId val="13738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9687856"/>
        <c:crosses val="autoZero"/>
        <c:auto val="1"/>
        <c:lblAlgn val="ctr"/>
        <c:lblOffset val="100"/>
        <c:noMultiLvlLbl val="0"/>
      </c:catAx>
      <c:valAx>
        <c:axId val="1199687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738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19</xdr:row>
      <xdr:rowOff>209550</xdr:rowOff>
    </xdr:from>
    <xdr:to>
      <xdr:col>12</xdr:col>
      <xdr:colOff>9526</xdr:colOff>
      <xdr:row>39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33900C9-529C-E7E1-C167-0E2C4A0BE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20511A-E653-4CF4-896F-BB85EE8B6BAA}" name="표8" displayName="표8" ref="E9:M17" totalsRowShown="0" headerRowDxfId="19" dataDxfId="20" tableBorderDxfId="30">
  <autoFilter ref="E9:M17" xr:uid="{6320511A-E653-4CF4-896F-BB85EE8B6B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72B703F-A547-4B47-B611-7A6F8E80C7A8}" name="테스트 항목" dataDxfId="29"/>
    <tableColumn id="2" xr3:uid="{7DE3010B-9428-4DB3-9008-C23D0212CE6E}" name="Pass" dataDxfId="28"/>
    <tableColumn id="3" xr3:uid="{9E9E27A5-E668-4322-B4B7-7EF71001A312}" name="Fail" dataDxfId="27"/>
    <tableColumn id="4" xr3:uid="{817E647C-4D00-46C5-8EB4-592C1FB6E471}" name="Block" dataDxfId="26"/>
    <tableColumn id="5" xr3:uid="{FA4154DF-6098-4301-AA79-EFE49700A85B}" name="N/A" dataDxfId="25"/>
    <tableColumn id="6" xr3:uid="{CFF5F26B-BE6D-47E3-936E-45F49241A314}" name="N/T" dataDxfId="24"/>
    <tableColumn id="7" xr3:uid="{11F12776-6843-40D5-AD0E-33FDD64876D3}" name="Total" dataDxfId="23"/>
    <tableColumn id="8" xr3:uid="{D17F3BF5-B6CC-4A31-A785-4CC1B90F08BF}" name="진행률" dataDxfId="22"/>
    <tableColumn id="9" xr3:uid="{A0B5993D-F193-4FB5-91CD-D9FFDAF5AF91}" name="성공률" dataDxfId="2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49E4DC-9EB2-425D-BD0E-AA5B66936EB9}" name="로비" displayName="로비" ref="A1:L41" totalsRowShown="0" headerRowDxfId="59" dataDxfId="60" headerRowBorderDxfId="73" tableBorderDxfId="74">
  <autoFilter ref="A1:L41" xr:uid="{A149E4DC-9EB2-425D-BD0E-AA5B66936EB9}"/>
  <tableColumns count="12">
    <tableColumn id="1" xr3:uid="{A11862E3-E765-4CD4-BCEA-347804069A4C}" name="No." dataDxfId="72"/>
    <tableColumn id="2" xr3:uid="{03134680-13EF-4611-A391-ED1278319EAE}" name="대분류" dataDxfId="71"/>
    <tableColumn id="3" xr3:uid="{396A0E0A-E0AA-4F9E-90E8-6BB6AC6E4C6E}" name="중분류" dataDxfId="70"/>
    <tableColumn id="4" xr3:uid="{BC07412D-ADDE-4E0F-BE80-8CB58D57E389}" name="소분류" dataDxfId="69"/>
    <tableColumn id="5" xr3:uid="{6E26DEB7-06C0-43AC-9853-501A820A9B7C}" name="사전조건" dataDxfId="68"/>
    <tableColumn id="6" xr3:uid="{A16C7746-C169-46D7-82B6-3D2DE4C1DE2F}" name="테스트 스텝" dataDxfId="67"/>
    <tableColumn id="7" xr3:uid="{115FCC6B-619A-4668-9AEA-6D08EFAC5F45}" name="기대결과" dataDxfId="66"/>
    <tableColumn id="8" xr3:uid="{AE330D26-3659-4E48-9CE5-1BE1F9E2994F}" name="결과" dataDxfId="65"/>
    <tableColumn id="9" xr3:uid="{86F09E3F-48AE-4B3E-BBC2-8AA11498B28C}" name="BTS" dataDxfId="64"/>
    <tableColumn id="10" xr3:uid="{BAF1F438-F68D-4411-A52F-C1B541BDF2DB}" name="비고" dataDxfId="63"/>
    <tableColumn id="11" xr3:uid="{034E6576-F0F3-4316-85D8-E36A057E8A9A}" name="버전" dataDxfId="62"/>
    <tableColumn id="12" xr3:uid="{522C57CF-1624-488A-B808-89827CE48A96}" name="날짜" dataDxfId="61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238F2D-5F1C-4793-8DFE-948BAC7BCB64}" name="이벤트페이지" displayName="이벤트페이지" ref="A1:L60" headerRowDxfId="58" dataDxfId="57" headerRowBorderDxfId="55" tableBorderDxfId="56">
  <autoFilter ref="A1:L60" xr:uid="{3C238F2D-5F1C-4793-8DFE-948BAC7BCB64}"/>
  <tableColumns count="12">
    <tableColumn id="1" xr3:uid="{EAD739DF-FA49-4974-873C-DC1E9041851C}" name="No." totalsRowLabel="요약" dataDxfId="54" totalsRowDxfId="42"/>
    <tableColumn id="2" xr3:uid="{1C4B6A78-0111-48BB-8A00-D63B7C194D83}" name="대분류" dataDxfId="53" totalsRowDxfId="41"/>
    <tableColumn id="3" xr3:uid="{9D51D842-74E5-4377-9279-263B5FAEADA5}" name="중분류" dataDxfId="52" totalsRowDxfId="40"/>
    <tableColumn id="4" xr3:uid="{6177941F-8CD8-47AE-A80D-0EF3A651A07B}" name="소분류" dataDxfId="51" totalsRowDxfId="39"/>
    <tableColumn id="5" xr3:uid="{DC83DFED-8F57-4D18-9228-D18E0081201B}" name="사전조건" dataDxfId="50" totalsRowDxfId="38"/>
    <tableColumn id="6" xr3:uid="{7376DDD0-4575-4682-BE15-C1271D0E340D}" name="테스트 스텝" dataDxfId="49" totalsRowDxfId="37"/>
    <tableColumn id="7" xr3:uid="{8646E65F-AB04-4DB7-860A-1168EEA62902}" name="기대결과" dataDxfId="48" totalsRowDxfId="36"/>
    <tableColumn id="8" xr3:uid="{5FDA48C8-B8B2-434B-B4A1-2C014D60E025}" name="결과" dataDxfId="47" totalsRowDxfId="35"/>
    <tableColumn id="9" xr3:uid="{9F377C3C-F6BB-4973-8608-FBF443D68F96}" name="BTS" dataDxfId="46" totalsRowDxfId="34"/>
    <tableColumn id="10" xr3:uid="{EA64236D-5E5E-4B6E-BAEE-C1F9A257F9AA}" name="비고" dataDxfId="45" totalsRowDxfId="33"/>
    <tableColumn id="11" xr3:uid="{C643E0D0-0B73-4C95-AD7A-44ADBC7318CA}" name="버전" dataDxfId="44" totalsRowDxfId="32"/>
    <tableColumn id="12" xr3:uid="{C1DE6D63-6D57-4CFE-8EF2-D5C4E4F3E41F}" name="날짜" totalsRowFunction="count" dataDxfId="43" totalsRowDxfId="3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6BF1-68E9-42E7-9E67-F8572B79CBDF}">
  <dimension ref="D1:BG45"/>
  <sheetViews>
    <sheetView tabSelected="1" workbookViewId="0">
      <selection activeCell="N21" sqref="N21"/>
    </sheetView>
  </sheetViews>
  <sheetFormatPr defaultRowHeight="17.25" x14ac:dyDescent="0.3"/>
  <cols>
    <col min="1" max="2" width="9" style="1"/>
    <col min="3" max="4" width="9" style="1" customWidth="1"/>
    <col min="5" max="6" width="15.625" style="1" customWidth="1"/>
    <col min="7" max="15" width="15.75" style="1" customWidth="1"/>
    <col min="16" max="16" width="12.25" style="1" customWidth="1"/>
    <col min="17" max="17" width="9" style="1"/>
    <col min="18" max="19" width="11.875" style="1" bestFit="1" customWidth="1"/>
    <col min="20" max="20" width="5.625" style="1" bestFit="1" customWidth="1"/>
    <col min="21" max="21" width="7.375" style="1" bestFit="1" customWidth="1"/>
    <col min="22" max="58" width="11.875" style="1" bestFit="1" customWidth="1"/>
    <col min="59" max="59" width="7.375" style="1" bestFit="1" customWidth="1"/>
    <col min="60" max="16384" width="9" style="1"/>
  </cols>
  <sheetData>
    <row r="1" spans="5:59" ht="26.25" x14ac:dyDescent="0.3">
      <c r="E1" s="34" t="s">
        <v>170</v>
      </c>
      <c r="F1" s="35"/>
      <c r="G1" s="35"/>
      <c r="H1" s="35"/>
      <c r="I1" s="35"/>
      <c r="J1" s="35"/>
      <c r="K1" s="35"/>
      <c r="L1" s="35"/>
      <c r="M1" s="36"/>
    </row>
    <row r="2" spans="5:59" x14ac:dyDescent="0.3"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5:59" x14ac:dyDescent="0.3"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5:59" x14ac:dyDescent="0.3">
      <c r="R4"/>
      <c r="S4"/>
      <c r="T4"/>
      <c r="U4"/>
    </row>
    <row r="5" spans="5:59" x14ac:dyDescent="0.3">
      <c r="R5"/>
      <c r="S5"/>
      <c r="T5"/>
      <c r="U5"/>
    </row>
    <row r="6" spans="5:59" x14ac:dyDescent="0.3">
      <c r="R6"/>
      <c r="S6"/>
      <c r="T6"/>
      <c r="U6"/>
    </row>
    <row r="7" spans="5:59" x14ac:dyDescent="0.3">
      <c r="R7"/>
      <c r="S7"/>
      <c r="T7"/>
      <c r="U7"/>
    </row>
    <row r="8" spans="5:59" x14ac:dyDescent="0.3">
      <c r="E8" s="23" t="s">
        <v>171</v>
      </c>
      <c r="F8" s="24"/>
      <c r="G8" s="24"/>
      <c r="H8" s="24"/>
      <c r="I8" s="24"/>
      <c r="J8" s="24"/>
      <c r="K8" s="24"/>
      <c r="L8" s="24"/>
      <c r="M8" s="25"/>
      <c r="R8"/>
      <c r="S8"/>
      <c r="T8"/>
      <c r="U8"/>
    </row>
    <row r="9" spans="5:59" ht="18" thickBot="1" x14ac:dyDescent="0.35">
      <c r="E9" s="32" t="s">
        <v>172</v>
      </c>
      <c r="F9" s="33" t="s">
        <v>63</v>
      </c>
      <c r="G9" s="33" t="s">
        <v>173</v>
      </c>
      <c r="H9" s="33" t="s">
        <v>174</v>
      </c>
      <c r="I9" s="33" t="s">
        <v>175</v>
      </c>
      <c r="J9" s="33" t="s">
        <v>176</v>
      </c>
      <c r="K9" s="33" t="s">
        <v>177</v>
      </c>
      <c r="L9" s="33" t="s">
        <v>178</v>
      </c>
      <c r="M9" s="33" t="s">
        <v>179</v>
      </c>
      <c r="R9"/>
      <c r="S9"/>
      <c r="T9"/>
      <c r="U9"/>
    </row>
    <row r="10" spans="5:59" ht="18" thickTop="1" x14ac:dyDescent="0.3">
      <c r="E10" s="30" t="s">
        <v>12</v>
      </c>
      <c r="F10" s="26">
        <f>COUNTIF(로비!H:H,"Pass")</f>
        <v>25</v>
      </c>
      <c r="G10" s="26">
        <f>COUNTIF(로비!H:H,"Fail")</f>
        <v>4</v>
      </c>
      <c r="H10" s="26">
        <f>COUNTIF(로비!H:H,"Block")</f>
        <v>2</v>
      </c>
      <c r="I10" s="26">
        <f>COUNTIF(로비!H:H,"N/A")</f>
        <v>2</v>
      </c>
      <c r="J10" s="26">
        <f>COUNTIF(로비!H:H,"Not Test")</f>
        <v>3</v>
      </c>
      <c r="K10" s="26">
        <f>COUNT(로비!A:A)</f>
        <v>36</v>
      </c>
      <c r="L10" s="27">
        <f>(요약!$K10-요약!$J10)/요약!$K10</f>
        <v>0.91666666666666663</v>
      </c>
      <c r="M10" s="27">
        <f>요약!$F10/(요약!$K10-요약!$J10)</f>
        <v>0.75757575757575757</v>
      </c>
      <c r="R10"/>
      <c r="S10"/>
      <c r="T10"/>
      <c r="U10"/>
    </row>
    <row r="11" spans="5:59" x14ac:dyDescent="0.3">
      <c r="E11" s="31" t="s">
        <v>100</v>
      </c>
      <c r="F11" s="28">
        <f>COUNTIF(이벤트페이지!H:H,"Pass")</f>
        <v>58</v>
      </c>
      <c r="G11" s="28">
        <f>COUNTIF(이벤트페이지!H:H,"Fail")</f>
        <v>0</v>
      </c>
      <c r="H11" s="28">
        <f>COUNTIF(이벤트페이지!H:H,"Block")</f>
        <v>0</v>
      </c>
      <c r="I11" s="28">
        <f>COUNTIF(이벤트페이지!H:H,"N/A")</f>
        <v>0</v>
      </c>
      <c r="J11" s="28">
        <f>COUNTIF(이벤트페이지!H:H,"Not Test")</f>
        <v>1</v>
      </c>
      <c r="K11" s="28">
        <f>COUNT(이벤트페이지!A:A)</f>
        <v>59</v>
      </c>
      <c r="L11" s="29">
        <f>(요약!$K11-요약!$J11)/요약!$K11</f>
        <v>0.98305084745762716</v>
      </c>
      <c r="M11" s="29">
        <f>요약!$F11/(요약!$K11-요약!$J11)</f>
        <v>1</v>
      </c>
      <c r="R11"/>
      <c r="S11"/>
      <c r="T11"/>
      <c r="U11"/>
    </row>
    <row r="12" spans="5:59" x14ac:dyDescent="0.3">
      <c r="E12" s="31" t="s">
        <v>180</v>
      </c>
      <c r="F12" s="28"/>
      <c r="G12" s="28"/>
      <c r="H12" s="28"/>
      <c r="I12" s="28"/>
      <c r="J12" s="28"/>
      <c r="K12" s="28"/>
      <c r="L12" s="29"/>
      <c r="M12" s="29"/>
      <c r="R12"/>
      <c r="S12"/>
      <c r="T12"/>
      <c r="U12"/>
    </row>
    <row r="13" spans="5:59" x14ac:dyDescent="0.3">
      <c r="E13" s="31"/>
      <c r="F13" s="28"/>
      <c r="G13" s="28"/>
      <c r="H13" s="28"/>
      <c r="I13" s="28"/>
      <c r="J13" s="28"/>
      <c r="K13" s="28"/>
      <c r="L13" s="29"/>
      <c r="M13" s="29"/>
      <c r="R13"/>
      <c r="S13"/>
      <c r="T13"/>
      <c r="U13"/>
    </row>
    <row r="14" spans="5:59" x14ac:dyDescent="0.3">
      <c r="E14" s="31"/>
      <c r="F14" s="28"/>
      <c r="G14" s="28"/>
      <c r="H14" s="28"/>
      <c r="I14" s="28"/>
      <c r="J14" s="28"/>
      <c r="K14" s="28"/>
      <c r="L14" s="29"/>
      <c r="M14" s="29"/>
      <c r="R14"/>
      <c r="S14"/>
      <c r="T14"/>
      <c r="U14"/>
    </row>
    <row r="15" spans="5:59" x14ac:dyDescent="0.3">
      <c r="E15" s="31"/>
      <c r="F15" s="28"/>
      <c r="G15" s="28"/>
      <c r="H15" s="28"/>
      <c r="I15" s="28"/>
      <c r="J15" s="28"/>
      <c r="K15" s="28"/>
      <c r="L15" s="29"/>
      <c r="M15" s="29"/>
      <c r="R15"/>
      <c r="S15"/>
      <c r="T15"/>
      <c r="U15"/>
    </row>
    <row r="16" spans="5:59" x14ac:dyDescent="0.3">
      <c r="E16" s="31"/>
      <c r="F16" s="28"/>
      <c r="G16" s="28"/>
      <c r="H16" s="28"/>
      <c r="I16" s="28"/>
      <c r="J16" s="28"/>
      <c r="K16" s="28"/>
      <c r="L16" s="29"/>
      <c r="M16" s="29"/>
      <c r="R16"/>
      <c r="S16"/>
      <c r="T16"/>
      <c r="U16"/>
    </row>
    <row r="17" spans="5:21" x14ac:dyDescent="0.3">
      <c r="E17" s="31"/>
      <c r="F17" s="28"/>
      <c r="G17" s="28"/>
      <c r="H17" s="28"/>
      <c r="I17" s="28"/>
      <c r="J17" s="28"/>
      <c r="K17" s="28"/>
      <c r="L17" s="29"/>
      <c r="M17" s="29"/>
      <c r="R17"/>
      <c r="S17"/>
      <c r="T17"/>
      <c r="U17"/>
    </row>
    <row r="18" spans="5:21" x14ac:dyDescent="0.3">
      <c r="R18"/>
      <c r="S18"/>
      <c r="T18"/>
      <c r="U18"/>
    </row>
    <row r="19" spans="5:21" x14ac:dyDescent="0.3">
      <c r="R19"/>
      <c r="S19"/>
      <c r="T19"/>
      <c r="U19"/>
    </row>
    <row r="20" spans="5:21" x14ac:dyDescent="0.3">
      <c r="R20"/>
      <c r="S20"/>
      <c r="T20"/>
      <c r="U20"/>
    </row>
    <row r="21" spans="5:21" x14ac:dyDescent="0.3">
      <c r="R21"/>
      <c r="S21"/>
      <c r="T21"/>
      <c r="U21"/>
    </row>
    <row r="22" spans="5:21" x14ac:dyDescent="0.3">
      <c r="R22"/>
      <c r="S22"/>
      <c r="T22"/>
      <c r="U22"/>
    </row>
    <row r="23" spans="5:21" x14ac:dyDescent="0.3">
      <c r="R23"/>
      <c r="S23"/>
      <c r="T23"/>
      <c r="U23"/>
    </row>
    <row r="24" spans="5:21" x14ac:dyDescent="0.3">
      <c r="R24"/>
      <c r="S24"/>
      <c r="T24"/>
      <c r="U24"/>
    </row>
    <row r="25" spans="5:21" x14ac:dyDescent="0.3">
      <c r="R25"/>
      <c r="S25"/>
      <c r="T25"/>
      <c r="U25"/>
    </row>
    <row r="26" spans="5:21" x14ac:dyDescent="0.3">
      <c r="R26"/>
      <c r="S26"/>
      <c r="T26"/>
      <c r="U26"/>
    </row>
    <row r="27" spans="5:21" x14ac:dyDescent="0.3">
      <c r="R27"/>
      <c r="S27"/>
      <c r="T27"/>
      <c r="U27"/>
    </row>
    <row r="28" spans="5:21" x14ac:dyDescent="0.3">
      <c r="R28"/>
      <c r="S28"/>
      <c r="T28"/>
      <c r="U28"/>
    </row>
    <row r="29" spans="5:21" x14ac:dyDescent="0.3">
      <c r="R29"/>
      <c r="S29"/>
      <c r="T29"/>
      <c r="U29"/>
    </row>
    <row r="30" spans="5:21" x14ac:dyDescent="0.3">
      <c r="R30"/>
      <c r="S30"/>
      <c r="T30"/>
      <c r="U30"/>
    </row>
    <row r="31" spans="5:21" x14ac:dyDescent="0.3">
      <c r="R31"/>
      <c r="S31"/>
      <c r="T31"/>
      <c r="U31"/>
    </row>
    <row r="32" spans="5:21" x14ac:dyDescent="0.3">
      <c r="R32"/>
      <c r="S32"/>
      <c r="T32"/>
      <c r="U32"/>
    </row>
    <row r="33" spans="18:21" x14ac:dyDescent="0.3">
      <c r="R33"/>
      <c r="S33"/>
      <c r="T33"/>
      <c r="U33"/>
    </row>
    <row r="34" spans="18:21" x14ac:dyDescent="0.3">
      <c r="R34"/>
      <c r="S34"/>
      <c r="T34"/>
      <c r="U34"/>
    </row>
    <row r="35" spans="18:21" x14ac:dyDescent="0.3">
      <c r="R35"/>
      <c r="S35"/>
      <c r="T35"/>
      <c r="U35"/>
    </row>
    <row r="36" spans="18:21" x14ac:dyDescent="0.3">
      <c r="R36"/>
      <c r="S36"/>
      <c r="T36"/>
      <c r="U36"/>
    </row>
    <row r="37" spans="18:21" x14ac:dyDescent="0.3">
      <c r="R37"/>
      <c r="S37"/>
      <c r="T37"/>
      <c r="U37"/>
    </row>
    <row r="38" spans="18:21" x14ac:dyDescent="0.3">
      <c r="R38"/>
      <c r="S38"/>
      <c r="T38"/>
      <c r="U38"/>
    </row>
    <row r="39" spans="18:21" x14ac:dyDescent="0.3">
      <c r="R39"/>
      <c r="S39"/>
      <c r="T39"/>
      <c r="U39"/>
    </row>
    <row r="40" spans="18:21" x14ac:dyDescent="0.3">
      <c r="R40"/>
      <c r="S40"/>
      <c r="T40"/>
      <c r="U40"/>
    </row>
    <row r="41" spans="18:21" x14ac:dyDescent="0.3">
      <c r="R41"/>
      <c r="S41"/>
      <c r="T41"/>
      <c r="U41"/>
    </row>
    <row r="42" spans="18:21" x14ac:dyDescent="0.3">
      <c r="R42"/>
      <c r="S42"/>
      <c r="T42"/>
      <c r="U42"/>
    </row>
    <row r="43" spans="18:21" x14ac:dyDescent="0.3">
      <c r="R43"/>
      <c r="S43"/>
      <c r="T43"/>
      <c r="U43"/>
    </row>
    <row r="44" spans="18:21" x14ac:dyDescent="0.3">
      <c r="R44"/>
      <c r="S44"/>
      <c r="T44"/>
      <c r="U44"/>
    </row>
    <row r="45" spans="18:21" x14ac:dyDescent="0.3">
      <c r="R45"/>
      <c r="S45"/>
      <c r="T45"/>
      <c r="U45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7A39-D637-4560-9684-9FD23CD66B30}">
  <dimension ref="A1:L41"/>
  <sheetViews>
    <sheetView showGridLines="0" topLeftCell="A26" zoomScaleNormal="100" workbookViewId="0">
      <selection activeCell="G15" sqref="G15"/>
    </sheetView>
  </sheetViews>
  <sheetFormatPr defaultRowHeight="16.5" x14ac:dyDescent="0.3"/>
  <cols>
    <col min="1" max="1" width="9" style="12"/>
    <col min="2" max="4" width="15.625" style="12" customWidth="1"/>
    <col min="5" max="6" width="45.625" style="13" customWidth="1"/>
    <col min="7" max="7" width="57.25" style="13" customWidth="1"/>
    <col min="8" max="8" width="18.75" style="14" customWidth="1"/>
    <col min="9" max="10" width="11.625" style="12" customWidth="1"/>
    <col min="11" max="11" width="15.625" style="12" customWidth="1"/>
    <col min="12" max="12" width="20.625" style="12" customWidth="1"/>
  </cols>
  <sheetData>
    <row r="1" spans="1:12" ht="20.25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</row>
    <row r="2" spans="1:12" ht="34.5" x14ac:dyDescent="0.3">
      <c r="A2" s="15">
        <v>1</v>
      </c>
      <c r="B2" s="5" t="s">
        <v>13</v>
      </c>
      <c r="C2" s="5" t="s">
        <v>14</v>
      </c>
      <c r="D2" s="5"/>
      <c r="E2" s="8" t="s">
        <v>18</v>
      </c>
      <c r="F2" s="8" t="s">
        <v>43</v>
      </c>
      <c r="G2" s="8" t="s">
        <v>21</v>
      </c>
      <c r="H2" s="9" t="s">
        <v>25</v>
      </c>
      <c r="I2" s="5"/>
      <c r="J2" s="5"/>
      <c r="K2" s="5" t="s">
        <v>31</v>
      </c>
      <c r="L2" s="16" t="s">
        <v>33</v>
      </c>
    </row>
    <row r="3" spans="1:12" ht="34.5" x14ac:dyDescent="0.3">
      <c r="A3" s="15">
        <v>2</v>
      </c>
      <c r="B3" s="5" t="s">
        <v>13</v>
      </c>
      <c r="C3" s="5" t="s">
        <v>15</v>
      </c>
      <c r="D3" s="5"/>
      <c r="E3" s="8" t="s">
        <v>18</v>
      </c>
      <c r="F3" s="8" t="s">
        <v>44</v>
      </c>
      <c r="G3" s="8" t="s">
        <v>22</v>
      </c>
      <c r="H3" s="9" t="s">
        <v>26</v>
      </c>
      <c r="I3" s="5"/>
      <c r="J3" s="5"/>
      <c r="K3" s="5" t="s">
        <v>31</v>
      </c>
      <c r="L3" s="4" t="s">
        <v>33</v>
      </c>
    </row>
    <row r="4" spans="1:12" ht="34.5" x14ac:dyDescent="0.3">
      <c r="A4" s="15">
        <v>3</v>
      </c>
      <c r="B4" s="5" t="s">
        <v>13</v>
      </c>
      <c r="C4" s="5" t="s">
        <v>16</v>
      </c>
      <c r="D4" s="5"/>
      <c r="E4" s="8" t="s">
        <v>18</v>
      </c>
      <c r="F4" s="8" t="s">
        <v>45</v>
      </c>
      <c r="G4" s="8" t="s">
        <v>23</v>
      </c>
      <c r="H4" s="9" t="s">
        <v>27</v>
      </c>
      <c r="I4" s="5"/>
      <c r="J4" s="5"/>
      <c r="K4" s="5" t="s">
        <v>30</v>
      </c>
      <c r="L4" s="16" t="s">
        <v>32</v>
      </c>
    </row>
    <row r="5" spans="1:12" ht="34.5" x14ac:dyDescent="0.3">
      <c r="A5" s="15">
        <v>4</v>
      </c>
      <c r="B5" s="5" t="s">
        <v>13</v>
      </c>
      <c r="C5" s="5" t="s">
        <v>17</v>
      </c>
      <c r="D5" s="5"/>
      <c r="E5" s="8" t="s">
        <v>18</v>
      </c>
      <c r="F5" s="8" t="s">
        <v>46</v>
      </c>
      <c r="G5" s="8" t="s">
        <v>24</v>
      </c>
      <c r="H5" s="9" t="s">
        <v>28</v>
      </c>
      <c r="I5" s="5"/>
      <c r="J5" s="5"/>
      <c r="K5" s="5" t="s">
        <v>30</v>
      </c>
      <c r="L5" s="4" t="s">
        <v>32</v>
      </c>
    </row>
    <row r="6" spans="1:12" ht="34.5" customHeight="1" x14ac:dyDescent="0.3">
      <c r="A6" s="15">
        <v>5</v>
      </c>
      <c r="B6" s="5" t="s">
        <v>13</v>
      </c>
      <c r="C6" s="5"/>
      <c r="D6" s="5"/>
      <c r="E6" s="8" t="s">
        <v>18</v>
      </c>
      <c r="F6" s="10" t="s">
        <v>19</v>
      </c>
      <c r="G6" s="8" t="s">
        <v>20</v>
      </c>
      <c r="H6" s="9" t="s">
        <v>29</v>
      </c>
      <c r="I6" s="5"/>
      <c r="J6" s="5"/>
      <c r="K6" s="5" t="s">
        <v>30</v>
      </c>
      <c r="L6" s="16" t="s">
        <v>32</v>
      </c>
    </row>
    <row r="7" spans="1:12" ht="34.5" customHeight="1" x14ac:dyDescent="0.3">
      <c r="A7" s="15">
        <v>6</v>
      </c>
      <c r="B7" s="3" t="s">
        <v>34</v>
      </c>
      <c r="C7" s="5" t="s">
        <v>35</v>
      </c>
      <c r="D7" s="5" t="s">
        <v>36</v>
      </c>
      <c r="E7" s="8" t="s">
        <v>18</v>
      </c>
      <c r="F7" s="11" t="s">
        <v>47</v>
      </c>
      <c r="G7" s="8" t="s">
        <v>38</v>
      </c>
      <c r="H7" s="9" t="s">
        <v>26</v>
      </c>
      <c r="I7" s="5"/>
      <c r="J7" s="5"/>
      <c r="K7" s="5" t="s">
        <v>30</v>
      </c>
      <c r="L7" s="4" t="s">
        <v>32</v>
      </c>
    </row>
    <row r="8" spans="1:12" ht="34.5" customHeight="1" x14ac:dyDescent="0.3">
      <c r="A8" s="15">
        <v>7</v>
      </c>
      <c r="B8" s="3" t="s">
        <v>34</v>
      </c>
      <c r="C8" s="5" t="s">
        <v>35</v>
      </c>
      <c r="D8" s="5" t="s">
        <v>36</v>
      </c>
      <c r="E8" s="8" t="s">
        <v>18</v>
      </c>
      <c r="F8" s="8" t="s">
        <v>39</v>
      </c>
      <c r="G8" s="8" t="s">
        <v>40</v>
      </c>
      <c r="H8" s="9" t="s">
        <v>26</v>
      </c>
      <c r="I8" s="5"/>
      <c r="J8" s="5"/>
      <c r="K8" s="5" t="s">
        <v>30</v>
      </c>
      <c r="L8" s="16" t="s">
        <v>32</v>
      </c>
    </row>
    <row r="9" spans="1:12" ht="34.5" customHeight="1" x14ac:dyDescent="0.3">
      <c r="A9" s="15">
        <v>8</v>
      </c>
      <c r="B9" s="3" t="s">
        <v>34</v>
      </c>
      <c r="C9" s="5" t="s">
        <v>35</v>
      </c>
      <c r="D9" s="5" t="s">
        <v>36</v>
      </c>
      <c r="E9" s="8" t="s">
        <v>42</v>
      </c>
      <c r="F9" s="8" t="s">
        <v>48</v>
      </c>
      <c r="G9" s="8" t="s">
        <v>49</v>
      </c>
      <c r="H9" s="9" t="s">
        <v>26</v>
      </c>
      <c r="I9" s="5"/>
      <c r="J9" s="5"/>
      <c r="K9" s="5" t="s">
        <v>30</v>
      </c>
      <c r="L9" s="4" t="s">
        <v>32</v>
      </c>
    </row>
    <row r="10" spans="1:12" ht="34.5" customHeight="1" x14ac:dyDescent="0.3">
      <c r="A10" s="15">
        <v>9</v>
      </c>
      <c r="B10" s="3" t="s">
        <v>34</v>
      </c>
      <c r="C10" s="5" t="s">
        <v>35</v>
      </c>
      <c r="D10" s="5" t="s">
        <v>36</v>
      </c>
      <c r="E10" s="8" t="s">
        <v>42</v>
      </c>
      <c r="F10" s="8" t="s">
        <v>50</v>
      </c>
      <c r="G10" s="8" t="s">
        <v>51</v>
      </c>
      <c r="H10" s="9" t="s">
        <v>25</v>
      </c>
      <c r="I10" s="5"/>
      <c r="J10" s="5"/>
      <c r="K10" s="5" t="s">
        <v>30</v>
      </c>
      <c r="L10" s="16" t="s">
        <v>32</v>
      </c>
    </row>
    <row r="11" spans="1:12" ht="34.5" customHeight="1" x14ac:dyDescent="0.3">
      <c r="A11" s="15">
        <v>10</v>
      </c>
      <c r="B11" s="3" t="s">
        <v>34</v>
      </c>
      <c r="C11" s="5" t="s">
        <v>35</v>
      </c>
      <c r="D11" s="5" t="s">
        <v>36</v>
      </c>
      <c r="E11" s="8" t="s">
        <v>41</v>
      </c>
      <c r="F11" s="8" t="s">
        <v>52</v>
      </c>
      <c r="G11" s="8" t="s">
        <v>38</v>
      </c>
      <c r="H11" s="9" t="s">
        <v>29</v>
      </c>
      <c r="I11" s="5"/>
      <c r="J11" s="5"/>
      <c r="K11" s="5" t="s">
        <v>30</v>
      </c>
      <c r="L11" s="4" t="s">
        <v>32</v>
      </c>
    </row>
    <row r="12" spans="1:12" ht="34.5" customHeight="1" x14ac:dyDescent="0.3">
      <c r="A12" s="15">
        <v>11</v>
      </c>
      <c r="B12" s="3" t="s">
        <v>34</v>
      </c>
      <c r="C12" s="5" t="s">
        <v>35</v>
      </c>
      <c r="D12" s="5" t="s">
        <v>36</v>
      </c>
      <c r="E12" s="8" t="s">
        <v>41</v>
      </c>
      <c r="F12" s="8" t="s">
        <v>53</v>
      </c>
      <c r="G12" s="8" t="s">
        <v>68</v>
      </c>
      <c r="H12" s="9" t="s">
        <v>25</v>
      </c>
      <c r="I12" s="5"/>
      <c r="J12" s="5"/>
      <c r="K12" s="5" t="s">
        <v>30</v>
      </c>
      <c r="L12" s="16" t="s">
        <v>32</v>
      </c>
    </row>
    <row r="13" spans="1:12" ht="34.5" customHeight="1" x14ac:dyDescent="0.3">
      <c r="A13" s="15">
        <v>12</v>
      </c>
      <c r="B13" s="3" t="s">
        <v>34</v>
      </c>
      <c r="C13" s="5" t="s">
        <v>35</v>
      </c>
      <c r="D13" s="5" t="s">
        <v>36</v>
      </c>
      <c r="E13" s="8" t="s">
        <v>41</v>
      </c>
      <c r="F13" s="8" t="s">
        <v>54</v>
      </c>
      <c r="G13" s="8" t="s">
        <v>55</v>
      </c>
      <c r="H13" s="9" t="s">
        <v>28</v>
      </c>
      <c r="I13" s="5"/>
      <c r="J13" s="5"/>
      <c r="K13" s="5" t="s">
        <v>30</v>
      </c>
      <c r="L13" s="4" t="s">
        <v>32</v>
      </c>
    </row>
    <row r="14" spans="1:12" ht="34.5" customHeight="1" x14ac:dyDescent="0.3">
      <c r="A14" s="15">
        <v>13</v>
      </c>
      <c r="B14" s="3" t="s">
        <v>34</v>
      </c>
      <c r="C14" s="5" t="s">
        <v>35</v>
      </c>
      <c r="D14" s="5" t="s">
        <v>36</v>
      </c>
      <c r="E14" s="8" t="s">
        <v>41</v>
      </c>
      <c r="F14" s="8" t="s">
        <v>56</v>
      </c>
      <c r="G14" s="8" t="s">
        <v>57</v>
      </c>
      <c r="H14" s="9" t="s">
        <v>27</v>
      </c>
      <c r="I14" s="5"/>
      <c r="J14" s="5"/>
      <c r="K14" s="5" t="s">
        <v>30</v>
      </c>
      <c r="L14" s="16" t="s">
        <v>32</v>
      </c>
    </row>
    <row r="15" spans="1:12" ht="103.5" x14ac:dyDescent="0.3">
      <c r="A15" s="15">
        <v>14</v>
      </c>
      <c r="B15" s="3" t="s">
        <v>34</v>
      </c>
      <c r="C15" s="5" t="s">
        <v>35</v>
      </c>
      <c r="D15" s="5" t="s">
        <v>36</v>
      </c>
      <c r="E15" s="8" t="s">
        <v>41</v>
      </c>
      <c r="F15" s="8" t="s">
        <v>58</v>
      </c>
      <c r="G15" s="8" t="s">
        <v>59</v>
      </c>
      <c r="H15" s="9" t="s">
        <v>27</v>
      </c>
      <c r="I15" s="5"/>
      <c r="J15" s="5"/>
      <c r="K15" s="5" t="s">
        <v>30</v>
      </c>
      <c r="L15" s="4" t="s">
        <v>32</v>
      </c>
    </row>
    <row r="16" spans="1:12" ht="34.5" customHeight="1" x14ac:dyDescent="0.3">
      <c r="A16" s="15">
        <v>15</v>
      </c>
      <c r="B16" s="3" t="s">
        <v>34</v>
      </c>
      <c r="C16" s="5" t="s">
        <v>35</v>
      </c>
      <c r="D16" s="5" t="s">
        <v>36</v>
      </c>
      <c r="E16" s="8" t="s">
        <v>41</v>
      </c>
      <c r="F16" s="8" t="s">
        <v>60</v>
      </c>
      <c r="G16" s="8" t="s">
        <v>61</v>
      </c>
      <c r="H16" s="9" t="s">
        <v>25</v>
      </c>
      <c r="I16" s="5"/>
      <c r="J16" s="5"/>
      <c r="K16" s="5" t="s">
        <v>30</v>
      </c>
      <c r="L16" s="16" t="s">
        <v>32</v>
      </c>
    </row>
    <row r="17" spans="1:12" ht="34.5" customHeight="1" x14ac:dyDescent="0.3">
      <c r="A17" s="15">
        <v>16</v>
      </c>
      <c r="B17" s="3" t="s">
        <v>34</v>
      </c>
      <c r="C17" s="5" t="s">
        <v>35</v>
      </c>
      <c r="D17" s="5" t="s">
        <v>36</v>
      </c>
      <c r="E17" s="8" t="s">
        <v>41</v>
      </c>
      <c r="F17" s="8" t="s">
        <v>62</v>
      </c>
      <c r="G17" s="8" t="s">
        <v>51</v>
      </c>
      <c r="H17" s="9" t="s">
        <v>63</v>
      </c>
      <c r="I17" s="5"/>
      <c r="J17" s="5"/>
      <c r="K17" s="5" t="s">
        <v>30</v>
      </c>
      <c r="L17" s="4" t="s">
        <v>32</v>
      </c>
    </row>
    <row r="18" spans="1:12" ht="34.5" customHeight="1" x14ac:dyDescent="0.3">
      <c r="A18" s="15">
        <v>17</v>
      </c>
      <c r="B18" s="3" t="s">
        <v>34</v>
      </c>
      <c r="C18" s="5" t="s">
        <v>35</v>
      </c>
      <c r="D18" s="5" t="s">
        <v>36</v>
      </c>
      <c r="E18" s="8" t="s">
        <v>42</v>
      </c>
      <c r="F18" s="11" t="s">
        <v>89</v>
      </c>
      <c r="G18" s="11" t="s">
        <v>51</v>
      </c>
      <c r="H18" s="9" t="s">
        <v>25</v>
      </c>
      <c r="I18" s="5"/>
      <c r="J18" s="5"/>
      <c r="K18" s="5" t="s">
        <v>30</v>
      </c>
      <c r="L18" s="16" t="s">
        <v>32</v>
      </c>
    </row>
    <row r="19" spans="1:12" ht="34.5" customHeight="1" x14ac:dyDescent="0.3">
      <c r="A19" s="15">
        <v>18</v>
      </c>
      <c r="B19" s="3" t="s">
        <v>34</v>
      </c>
      <c r="C19" s="5" t="s">
        <v>35</v>
      </c>
      <c r="D19" s="5" t="s">
        <v>37</v>
      </c>
      <c r="E19" s="8" t="s">
        <v>18</v>
      </c>
      <c r="F19" s="8" t="s">
        <v>64</v>
      </c>
      <c r="G19" s="8" t="s">
        <v>65</v>
      </c>
      <c r="H19" s="9" t="s">
        <v>25</v>
      </c>
      <c r="I19" s="5"/>
      <c r="J19" s="5"/>
      <c r="K19" s="5" t="s">
        <v>30</v>
      </c>
      <c r="L19" s="4" t="s">
        <v>32</v>
      </c>
    </row>
    <row r="20" spans="1:12" ht="34.5" customHeight="1" x14ac:dyDescent="0.3">
      <c r="A20" s="15">
        <v>19</v>
      </c>
      <c r="B20" s="3" t="s">
        <v>34</v>
      </c>
      <c r="C20" s="5" t="s">
        <v>35</v>
      </c>
      <c r="D20" s="3" t="s">
        <v>66</v>
      </c>
      <c r="E20" s="8" t="s">
        <v>18</v>
      </c>
      <c r="F20" s="8" t="s">
        <v>67</v>
      </c>
      <c r="G20" s="8" t="s">
        <v>69</v>
      </c>
      <c r="H20" s="9" t="s">
        <v>25</v>
      </c>
      <c r="I20" s="5"/>
      <c r="J20" s="5"/>
      <c r="K20" s="5" t="s">
        <v>30</v>
      </c>
      <c r="L20" s="16" t="s">
        <v>32</v>
      </c>
    </row>
    <row r="21" spans="1:12" ht="34.5" customHeight="1" x14ac:dyDescent="0.3">
      <c r="A21" s="15">
        <v>20</v>
      </c>
      <c r="B21" s="3" t="s">
        <v>34</v>
      </c>
      <c r="C21" s="5" t="s">
        <v>35</v>
      </c>
      <c r="D21" s="3" t="s">
        <v>66</v>
      </c>
      <c r="E21" s="8" t="s">
        <v>18</v>
      </c>
      <c r="F21" s="8" t="s">
        <v>70</v>
      </c>
      <c r="G21" s="8" t="s">
        <v>71</v>
      </c>
      <c r="H21" s="9" t="s">
        <v>25</v>
      </c>
      <c r="I21" s="5"/>
      <c r="J21" s="5"/>
      <c r="K21" s="5" t="s">
        <v>30</v>
      </c>
      <c r="L21" s="4" t="s">
        <v>32</v>
      </c>
    </row>
    <row r="22" spans="1:12" ht="34.5" customHeight="1" x14ac:dyDescent="0.3">
      <c r="A22" s="15">
        <v>21</v>
      </c>
      <c r="B22" s="3" t="s">
        <v>34</v>
      </c>
      <c r="C22" s="3" t="s">
        <v>72</v>
      </c>
      <c r="D22" s="3" t="s">
        <v>36</v>
      </c>
      <c r="E22" s="8" t="s">
        <v>18</v>
      </c>
      <c r="F22" s="8" t="s">
        <v>75</v>
      </c>
      <c r="G22" s="8" t="s">
        <v>76</v>
      </c>
      <c r="H22" s="9" t="s">
        <v>25</v>
      </c>
      <c r="I22" s="5"/>
      <c r="J22" s="5"/>
      <c r="K22" s="5" t="s">
        <v>30</v>
      </c>
      <c r="L22" s="16" t="s">
        <v>32</v>
      </c>
    </row>
    <row r="23" spans="1:12" ht="34.5" customHeight="1" x14ac:dyDescent="0.3">
      <c r="A23" s="15">
        <v>22</v>
      </c>
      <c r="B23" s="3" t="s">
        <v>34</v>
      </c>
      <c r="C23" s="3" t="s">
        <v>72</v>
      </c>
      <c r="D23" s="3" t="s">
        <v>36</v>
      </c>
      <c r="E23" s="8" t="s">
        <v>18</v>
      </c>
      <c r="F23" s="8" t="s">
        <v>77</v>
      </c>
      <c r="G23" s="8" t="s">
        <v>78</v>
      </c>
      <c r="H23" s="9" t="s">
        <v>25</v>
      </c>
      <c r="I23" s="5"/>
      <c r="J23" s="5"/>
      <c r="K23" s="5" t="s">
        <v>30</v>
      </c>
      <c r="L23" s="4" t="s">
        <v>32</v>
      </c>
    </row>
    <row r="24" spans="1:12" ht="34.5" customHeight="1" x14ac:dyDescent="0.3">
      <c r="A24" s="15">
        <v>23</v>
      </c>
      <c r="B24" s="3" t="s">
        <v>34</v>
      </c>
      <c r="C24" s="3" t="s">
        <v>72</v>
      </c>
      <c r="D24" s="3" t="s">
        <v>36</v>
      </c>
      <c r="E24" s="8" t="s">
        <v>74</v>
      </c>
      <c r="F24" s="8" t="s">
        <v>48</v>
      </c>
      <c r="G24" s="8" t="s">
        <v>49</v>
      </c>
      <c r="H24" s="9" t="s">
        <v>25</v>
      </c>
      <c r="I24" s="5"/>
      <c r="J24" s="5"/>
      <c r="K24" s="5" t="s">
        <v>30</v>
      </c>
      <c r="L24" s="16" t="s">
        <v>32</v>
      </c>
    </row>
    <row r="25" spans="1:12" ht="34.5" customHeight="1" x14ac:dyDescent="0.3">
      <c r="A25" s="15">
        <v>24</v>
      </c>
      <c r="B25" s="3" t="s">
        <v>34</v>
      </c>
      <c r="C25" s="3" t="s">
        <v>72</v>
      </c>
      <c r="D25" s="3" t="s">
        <v>36</v>
      </c>
      <c r="E25" s="8" t="s">
        <v>74</v>
      </c>
      <c r="F25" s="8" t="s">
        <v>50</v>
      </c>
      <c r="G25" s="8" t="s">
        <v>79</v>
      </c>
      <c r="H25" s="9" t="s">
        <v>25</v>
      </c>
      <c r="I25" s="5"/>
      <c r="J25" s="5"/>
      <c r="K25" s="5" t="s">
        <v>30</v>
      </c>
      <c r="L25" s="4" t="s">
        <v>32</v>
      </c>
    </row>
    <row r="26" spans="1:12" ht="34.5" customHeight="1" x14ac:dyDescent="0.3">
      <c r="A26" s="15">
        <v>25</v>
      </c>
      <c r="B26" s="3" t="s">
        <v>34</v>
      </c>
      <c r="C26" s="3" t="s">
        <v>72</v>
      </c>
      <c r="D26" s="3" t="s">
        <v>36</v>
      </c>
      <c r="E26" s="8" t="s">
        <v>73</v>
      </c>
      <c r="F26" s="8" t="s">
        <v>80</v>
      </c>
      <c r="G26" s="8" t="s">
        <v>76</v>
      </c>
      <c r="H26" s="9" t="s">
        <v>25</v>
      </c>
      <c r="I26" s="5"/>
      <c r="J26" s="5"/>
      <c r="K26" s="5" t="s">
        <v>30</v>
      </c>
      <c r="L26" s="16" t="s">
        <v>32</v>
      </c>
    </row>
    <row r="27" spans="1:12" ht="34.5" customHeight="1" x14ac:dyDescent="0.3">
      <c r="A27" s="15">
        <v>26</v>
      </c>
      <c r="B27" s="3" t="s">
        <v>34</v>
      </c>
      <c r="C27" s="3" t="s">
        <v>72</v>
      </c>
      <c r="D27" s="3" t="s">
        <v>36</v>
      </c>
      <c r="E27" s="8" t="s">
        <v>73</v>
      </c>
      <c r="F27" s="8" t="s">
        <v>81</v>
      </c>
      <c r="G27" s="8" t="s">
        <v>82</v>
      </c>
      <c r="H27" s="9" t="s">
        <v>25</v>
      </c>
      <c r="I27" s="5"/>
      <c r="J27" s="5"/>
      <c r="K27" s="5" t="s">
        <v>30</v>
      </c>
      <c r="L27" s="4" t="s">
        <v>32</v>
      </c>
    </row>
    <row r="28" spans="1:12" ht="34.5" customHeight="1" x14ac:dyDescent="0.3">
      <c r="A28" s="15">
        <v>27</v>
      </c>
      <c r="B28" s="3" t="s">
        <v>34</v>
      </c>
      <c r="C28" s="3" t="s">
        <v>72</v>
      </c>
      <c r="D28" s="3" t="s">
        <v>36</v>
      </c>
      <c r="E28" s="8" t="s">
        <v>73</v>
      </c>
      <c r="F28" s="8" t="s">
        <v>83</v>
      </c>
      <c r="G28" s="8" t="s">
        <v>84</v>
      </c>
      <c r="H28" s="9" t="s">
        <v>25</v>
      </c>
      <c r="I28" s="5"/>
      <c r="J28" s="5"/>
      <c r="K28" s="5" t="s">
        <v>30</v>
      </c>
      <c r="L28" s="16" t="s">
        <v>32</v>
      </c>
    </row>
    <row r="29" spans="1:12" ht="34.5" x14ac:dyDescent="0.3">
      <c r="A29" s="15">
        <v>28</v>
      </c>
      <c r="B29" s="3" t="s">
        <v>34</v>
      </c>
      <c r="C29" s="3" t="s">
        <v>72</v>
      </c>
      <c r="D29" s="3" t="s">
        <v>36</v>
      </c>
      <c r="E29" s="8" t="s">
        <v>73</v>
      </c>
      <c r="F29" s="8" t="s">
        <v>85</v>
      </c>
      <c r="G29" s="8" t="s">
        <v>86</v>
      </c>
      <c r="H29" s="9" t="s">
        <v>25</v>
      </c>
      <c r="I29" s="5"/>
      <c r="J29" s="5"/>
      <c r="K29" s="5" t="s">
        <v>30</v>
      </c>
      <c r="L29" s="4" t="s">
        <v>32</v>
      </c>
    </row>
    <row r="30" spans="1:12" ht="51.75" x14ac:dyDescent="0.3">
      <c r="A30" s="15">
        <v>29</v>
      </c>
      <c r="B30" s="3" t="s">
        <v>34</v>
      </c>
      <c r="C30" s="3" t="s">
        <v>72</v>
      </c>
      <c r="D30" s="3" t="s">
        <v>36</v>
      </c>
      <c r="E30" s="8" t="s">
        <v>73</v>
      </c>
      <c r="F30" s="8" t="s">
        <v>87</v>
      </c>
      <c r="G30" s="8" t="s">
        <v>88</v>
      </c>
      <c r="H30" s="9" t="s">
        <v>25</v>
      </c>
      <c r="I30" s="5"/>
      <c r="J30" s="5"/>
      <c r="K30" s="5" t="s">
        <v>30</v>
      </c>
      <c r="L30" s="16" t="s">
        <v>32</v>
      </c>
    </row>
    <row r="31" spans="1:12" ht="34.5" customHeight="1" x14ac:dyDescent="0.3">
      <c r="A31" s="15">
        <v>30</v>
      </c>
      <c r="B31" s="3" t="s">
        <v>34</v>
      </c>
      <c r="C31" s="3" t="s">
        <v>72</v>
      </c>
      <c r="D31" s="3" t="s">
        <v>36</v>
      </c>
      <c r="E31" s="8" t="s">
        <v>73</v>
      </c>
      <c r="F31" s="8" t="s">
        <v>60</v>
      </c>
      <c r="G31" s="8" t="s">
        <v>61</v>
      </c>
      <c r="H31" s="9" t="s">
        <v>25</v>
      </c>
      <c r="I31" s="5"/>
      <c r="J31" s="5"/>
      <c r="K31" s="5" t="s">
        <v>30</v>
      </c>
      <c r="L31" s="4" t="s">
        <v>32</v>
      </c>
    </row>
    <row r="32" spans="1:12" ht="34.5" customHeight="1" x14ac:dyDescent="0.3">
      <c r="A32" s="15">
        <v>31</v>
      </c>
      <c r="B32" s="3" t="s">
        <v>34</v>
      </c>
      <c r="C32" s="3" t="s">
        <v>72</v>
      </c>
      <c r="D32" s="3" t="s">
        <v>36</v>
      </c>
      <c r="E32" s="8" t="s">
        <v>73</v>
      </c>
      <c r="F32" s="8" t="s">
        <v>62</v>
      </c>
      <c r="G32" s="8" t="s">
        <v>79</v>
      </c>
      <c r="H32" s="9" t="s">
        <v>25</v>
      </c>
      <c r="I32" s="5"/>
      <c r="J32" s="5"/>
      <c r="K32" s="5" t="s">
        <v>30</v>
      </c>
      <c r="L32" s="16" t="s">
        <v>32</v>
      </c>
    </row>
    <row r="33" spans="1:12" ht="34.5" customHeight="1" x14ac:dyDescent="0.3">
      <c r="A33" s="15">
        <v>32</v>
      </c>
      <c r="B33" s="3" t="s">
        <v>34</v>
      </c>
      <c r="C33" s="3" t="s">
        <v>72</v>
      </c>
      <c r="D33" s="3" t="s">
        <v>36</v>
      </c>
      <c r="E33" s="8" t="s">
        <v>73</v>
      </c>
      <c r="F33" s="8" t="s">
        <v>90</v>
      </c>
      <c r="G33" s="8" t="s">
        <v>79</v>
      </c>
      <c r="H33" s="9" t="s">
        <v>25</v>
      </c>
      <c r="I33" s="5"/>
      <c r="J33" s="5"/>
      <c r="K33" s="5" t="s">
        <v>30</v>
      </c>
      <c r="L33" s="4" t="s">
        <v>32</v>
      </c>
    </row>
    <row r="34" spans="1:12" ht="34.5" customHeight="1" x14ac:dyDescent="0.3">
      <c r="A34" s="15">
        <v>33</v>
      </c>
      <c r="B34" s="3" t="s">
        <v>34</v>
      </c>
      <c r="C34" s="3" t="s">
        <v>72</v>
      </c>
      <c r="D34" s="5" t="s">
        <v>37</v>
      </c>
      <c r="E34" s="8" t="s">
        <v>18</v>
      </c>
      <c r="F34" s="8" t="s">
        <v>91</v>
      </c>
      <c r="G34" s="8" t="s">
        <v>92</v>
      </c>
      <c r="H34" s="9" t="s">
        <v>25</v>
      </c>
      <c r="I34" s="5"/>
      <c r="J34" s="5"/>
      <c r="K34" s="5" t="s">
        <v>30</v>
      </c>
      <c r="L34" s="16" t="s">
        <v>32</v>
      </c>
    </row>
    <row r="35" spans="1:12" ht="34.5" customHeight="1" x14ac:dyDescent="0.3">
      <c r="A35" s="15">
        <v>34</v>
      </c>
      <c r="B35" s="5" t="s">
        <v>94</v>
      </c>
      <c r="C35" s="5" t="s">
        <v>93</v>
      </c>
      <c r="D35" s="5" t="s">
        <v>36</v>
      </c>
      <c r="E35" s="8" t="s">
        <v>18</v>
      </c>
      <c r="F35" s="8" t="s">
        <v>95</v>
      </c>
      <c r="G35" s="8" t="s">
        <v>96</v>
      </c>
      <c r="H35" s="9" t="s">
        <v>25</v>
      </c>
      <c r="I35" s="5"/>
      <c r="J35" s="5"/>
      <c r="K35" s="5" t="s">
        <v>30</v>
      </c>
      <c r="L35" s="4" t="s">
        <v>32</v>
      </c>
    </row>
    <row r="36" spans="1:12" ht="34.5" customHeight="1" x14ac:dyDescent="0.3">
      <c r="A36" s="15">
        <v>35</v>
      </c>
      <c r="B36" s="5" t="s">
        <v>94</v>
      </c>
      <c r="C36" s="5" t="s">
        <v>93</v>
      </c>
      <c r="D36" s="5" t="s">
        <v>36</v>
      </c>
      <c r="E36" s="8" t="s">
        <v>18</v>
      </c>
      <c r="F36" s="8" t="s">
        <v>97</v>
      </c>
      <c r="G36" s="8" t="s">
        <v>98</v>
      </c>
      <c r="H36" s="9" t="s">
        <v>25</v>
      </c>
      <c r="I36" s="5"/>
      <c r="J36" s="5"/>
      <c r="K36" s="5" t="s">
        <v>30</v>
      </c>
      <c r="L36" s="16" t="s">
        <v>32</v>
      </c>
    </row>
    <row r="37" spans="1:12" ht="34.5" customHeight="1" x14ac:dyDescent="0.3">
      <c r="A37" s="15">
        <v>36</v>
      </c>
      <c r="B37" s="5" t="s">
        <v>94</v>
      </c>
      <c r="C37" s="5" t="s">
        <v>93</v>
      </c>
      <c r="D37" s="5" t="s">
        <v>36</v>
      </c>
      <c r="E37" s="8" t="s">
        <v>18</v>
      </c>
      <c r="F37" s="8" t="s">
        <v>99</v>
      </c>
      <c r="G37" s="8" t="s">
        <v>101</v>
      </c>
      <c r="H37" s="9" t="s">
        <v>25</v>
      </c>
      <c r="I37" s="5"/>
      <c r="J37" s="5"/>
      <c r="K37" s="5" t="s">
        <v>30</v>
      </c>
      <c r="L37" s="4" t="s">
        <v>32</v>
      </c>
    </row>
    <row r="38" spans="1:12" ht="34.5" customHeight="1" x14ac:dyDescent="0.3">
      <c r="A38" s="15"/>
      <c r="B38" s="5"/>
      <c r="C38" s="5"/>
      <c r="D38" s="5"/>
      <c r="E38" s="8"/>
      <c r="F38" s="8"/>
      <c r="G38" s="8"/>
      <c r="H38" s="9"/>
      <c r="I38" s="5"/>
      <c r="J38" s="5"/>
      <c r="K38" s="5"/>
      <c r="L38" s="16"/>
    </row>
    <row r="39" spans="1:12" ht="34.5" customHeight="1" x14ac:dyDescent="0.3">
      <c r="A39" s="15"/>
      <c r="B39" s="5"/>
      <c r="C39" s="5"/>
      <c r="D39" s="5"/>
      <c r="E39" s="8"/>
      <c r="F39" s="8"/>
      <c r="G39" s="8"/>
      <c r="H39" s="9"/>
      <c r="I39" s="5"/>
      <c r="J39" s="5"/>
      <c r="K39" s="5"/>
      <c r="L39" s="4"/>
    </row>
    <row r="40" spans="1:12" ht="34.5" customHeight="1" x14ac:dyDescent="0.3">
      <c r="A40" s="15"/>
      <c r="B40" s="5"/>
      <c r="C40" s="5"/>
      <c r="D40" s="5"/>
      <c r="E40" s="8"/>
      <c r="F40" s="8"/>
      <c r="G40" s="8"/>
      <c r="H40" s="9"/>
      <c r="I40" s="5"/>
      <c r="J40" s="5"/>
      <c r="K40" s="5"/>
      <c r="L40" s="16"/>
    </row>
    <row r="41" spans="1:12" ht="34.5" customHeight="1" x14ac:dyDescent="0.3">
      <c r="A41" s="20"/>
      <c r="B41" s="5"/>
      <c r="C41" s="5"/>
      <c r="D41" s="3"/>
      <c r="E41" s="6"/>
      <c r="F41" s="6"/>
      <c r="G41" s="6"/>
      <c r="H41" s="21"/>
      <c r="I41" s="3"/>
      <c r="J41" s="3"/>
      <c r="K41" s="3"/>
      <c r="L41" s="2"/>
    </row>
  </sheetData>
  <phoneticPr fontId="1" type="noConversion"/>
  <conditionalFormatting sqref="H2:H1048576">
    <cfRule type="cellIs" dxfId="18" priority="11" operator="equal">
      <formula>"Block"</formula>
    </cfRule>
    <cfRule type="cellIs" dxfId="17" priority="12" operator="equal">
      <formula>"Fail"</formula>
    </cfRule>
    <cfRule type="cellIs" dxfId="16" priority="13" operator="equal">
      <formula>"Pass"</formula>
    </cfRule>
  </conditionalFormatting>
  <conditionalFormatting sqref="H1 H3:H1048576">
    <cfRule type="cellIs" dxfId="15" priority="9" operator="equal">
      <formula>"Not Test"</formula>
    </cfRule>
    <cfRule type="cellIs" dxfId="14" priority="10" operator="equal">
      <formula>"N/A"</formula>
    </cfRule>
  </conditionalFormatting>
  <conditionalFormatting sqref="B2:B1048576">
    <cfRule type="expression" dxfId="13" priority="2">
      <formula>B2=B1</formula>
    </cfRule>
  </conditionalFormatting>
  <conditionalFormatting sqref="C2:D1048576">
    <cfRule type="expression" dxfId="12" priority="1">
      <formula>C2=C1</formula>
    </cfRule>
  </conditionalFormatting>
  <dataValidations count="1">
    <dataValidation type="list" allowBlank="1" showInputMessage="1" showErrorMessage="1" sqref="H2:H1048576" xr:uid="{439D161C-8FE6-438E-82CC-5A3144A1279B}">
      <formula1>"Pass,Fail,Not Test,N/A,Block"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BA8A-ED49-4126-84A4-B0F192F35957}">
  <dimension ref="A1:L60"/>
  <sheetViews>
    <sheetView showGridLines="0" topLeftCell="A9" workbookViewId="0">
      <selection activeCell="F55" sqref="F55"/>
    </sheetView>
  </sheetViews>
  <sheetFormatPr defaultRowHeight="16.5" x14ac:dyDescent="0.3"/>
  <cols>
    <col min="2" max="4" width="15.625" customWidth="1"/>
    <col min="5" max="6" width="45.625" customWidth="1"/>
    <col min="7" max="7" width="57.25" customWidth="1"/>
    <col min="8" max="8" width="18.75" customWidth="1"/>
    <col min="9" max="10" width="11.625" customWidth="1"/>
    <col min="11" max="11" width="15.625" customWidth="1"/>
    <col min="12" max="12" width="20.625" customWidth="1"/>
  </cols>
  <sheetData>
    <row r="1" spans="1:12" ht="20.25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</row>
    <row r="2" spans="1:12" ht="34.5" x14ac:dyDescent="0.3">
      <c r="A2" s="15">
        <v>1</v>
      </c>
      <c r="B2" s="5" t="s">
        <v>100</v>
      </c>
      <c r="C2" s="5"/>
      <c r="D2" s="5"/>
      <c r="E2" s="7" t="s">
        <v>102</v>
      </c>
      <c r="F2" s="22" t="s">
        <v>105</v>
      </c>
      <c r="G2" s="7" t="s">
        <v>104</v>
      </c>
      <c r="H2" s="9" t="s">
        <v>25</v>
      </c>
      <c r="I2" s="5"/>
      <c r="J2" s="5"/>
      <c r="K2" s="5" t="s">
        <v>31</v>
      </c>
      <c r="L2" s="16" t="s">
        <v>33</v>
      </c>
    </row>
    <row r="3" spans="1:12" ht="34.5" x14ac:dyDescent="0.3">
      <c r="A3" s="15">
        <v>2</v>
      </c>
      <c r="B3" s="5" t="s">
        <v>34</v>
      </c>
      <c r="C3" s="5" t="s">
        <v>35</v>
      </c>
      <c r="D3" s="5" t="s">
        <v>36</v>
      </c>
      <c r="E3" s="8" t="s">
        <v>102</v>
      </c>
      <c r="F3" s="8" t="s">
        <v>47</v>
      </c>
      <c r="G3" s="8" t="s">
        <v>38</v>
      </c>
      <c r="H3" s="9" t="s">
        <v>25</v>
      </c>
      <c r="I3" s="5"/>
      <c r="J3" s="5"/>
      <c r="K3" s="5" t="s">
        <v>31</v>
      </c>
      <c r="L3" s="4" t="s">
        <v>33</v>
      </c>
    </row>
    <row r="4" spans="1:12" ht="17.25" x14ac:dyDescent="0.3">
      <c r="A4" s="15">
        <v>3</v>
      </c>
      <c r="B4" s="5" t="s">
        <v>34</v>
      </c>
      <c r="C4" s="5" t="s">
        <v>35</v>
      </c>
      <c r="D4" s="5" t="s">
        <v>36</v>
      </c>
      <c r="E4" s="11" t="s">
        <v>102</v>
      </c>
      <c r="F4" s="11" t="s">
        <v>39</v>
      </c>
      <c r="G4" s="11" t="s">
        <v>40</v>
      </c>
      <c r="H4" s="9" t="s">
        <v>25</v>
      </c>
      <c r="I4" s="5"/>
      <c r="J4" s="5"/>
      <c r="K4" s="5" t="s">
        <v>30</v>
      </c>
      <c r="L4" s="16" t="s">
        <v>32</v>
      </c>
    </row>
    <row r="5" spans="1:12" ht="34.5" x14ac:dyDescent="0.3">
      <c r="A5" s="15">
        <v>4</v>
      </c>
      <c r="B5" s="5" t="s">
        <v>34</v>
      </c>
      <c r="C5" s="5" t="s">
        <v>35</v>
      </c>
      <c r="D5" s="5" t="s">
        <v>36</v>
      </c>
      <c r="E5" s="11" t="s">
        <v>103</v>
      </c>
      <c r="F5" s="11" t="s">
        <v>48</v>
      </c>
      <c r="G5" s="11" t="s">
        <v>49</v>
      </c>
      <c r="H5" s="9" t="s">
        <v>25</v>
      </c>
      <c r="I5" s="5"/>
      <c r="J5" s="5"/>
      <c r="K5" s="5" t="s">
        <v>30</v>
      </c>
      <c r="L5" s="4" t="s">
        <v>32</v>
      </c>
    </row>
    <row r="6" spans="1:12" ht="34.5" x14ac:dyDescent="0.3">
      <c r="A6" s="15">
        <v>5</v>
      </c>
      <c r="B6" s="5" t="s">
        <v>34</v>
      </c>
      <c r="C6" s="5" t="s">
        <v>35</v>
      </c>
      <c r="D6" s="5" t="s">
        <v>36</v>
      </c>
      <c r="E6" s="11" t="s">
        <v>103</v>
      </c>
      <c r="F6" s="11" t="s">
        <v>50</v>
      </c>
      <c r="G6" s="11" t="s">
        <v>51</v>
      </c>
      <c r="H6" s="9" t="s">
        <v>25</v>
      </c>
      <c r="I6" s="5"/>
      <c r="J6" s="5"/>
      <c r="K6" s="5" t="s">
        <v>30</v>
      </c>
      <c r="L6" s="16" t="s">
        <v>32</v>
      </c>
    </row>
    <row r="7" spans="1:12" ht="34.5" x14ac:dyDescent="0.3">
      <c r="A7" s="15">
        <v>6</v>
      </c>
      <c r="B7" s="5" t="s">
        <v>34</v>
      </c>
      <c r="C7" s="5" t="s">
        <v>35</v>
      </c>
      <c r="D7" s="5" t="s">
        <v>36</v>
      </c>
      <c r="E7" s="11" t="s">
        <v>103</v>
      </c>
      <c r="F7" s="11" t="s">
        <v>52</v>
      </c>
      <c r="G7" s="11" t="s">
        <v>38</v>
      </c>
      <c r="H7" s="9" t="s">
        <v>25</v>
      </c>
      <c r="I7" s="5"/>
      <c r="J7" s="5"/>
      <c r="K7" s="5" t="s">
        <v>30</v>
      </c>
      <c r="L7" s="4" t="s">
        <v>32</v>
      </c>
    </row>
    <row r="8" spans="1:12" ht="34.5" x14ac:dyDescent="0.3">
      <c r="A8" s="15">
        <v>7</v>
      </c>
      <c r="B8" s="5" t="s">
        <v>34</v>
      </c>
      <c r="C8" s="5" t="s">
        <v>35</v>
      </c>
      <c r="D8" s="5" t="s">
        <v>36</v>
      </c>
      <c r="E8" s="11" t="s">
        <v>103</v>
      </c>
      <c r="F8" s="11" t="s">
        <v>53</v>
      </c>
      <c r="G8" s="11" t="s">
        <v>68</v>
      </c>
      <c r="H8" s="9" t="s">
        <v>25</v>
      </c>
      <c r="I8" s="5"/>
      <c r="J8" s="5"/>
      <c r="K8" s="5" t="s">
        <v>30</v>
      </c>
      <c r="L8" s="16" t="s">
        <v>32</v>
      </c>
    </row>
    <row r="9" spans="1:12" ht="34.5" x14ac:dyDescent="0.3">
      <c r="A9" s="15">
        <v>8</v>
      </c>
      <c r="B9" s="5" t="s">
        <v>34</v>
      </c>
      <c r="C9" s="5" t="s">
        <v>35</v>
      </c>
      <c r="D9" s="5" t="s">
        <v>36</v>
      </c>
      <c r="E9" s="11" t="s">
        <v>103</v>
      </c>
      <c r="F9" s="11" t="s">
        <v>54</v>
      </c>
      <c r="G9" s="11" t="s">
        <v>55</v>
      </c>
      <c r="H9" s="9" t="s">
        <v>25</v>
      </c>
      <c r="I9" s="5"/>
      <c r="J9" s="5"/>
      <c r="K9" s="5" t="s">
        <v>30</v>
      </c>
      <c r="L9" s="4" t="s">
        <v>32</v>
      </c>
    </row>
    <row r="10" spans="1:12" ht="34.5" x14ac:dyDescent="0.3">
      <c r="A10" s="15">
        <v>9</v>
      </c>
      <c r="B10" s="5" t="s">
        <v>34</v>
      </c>
      <c r="C10" s="5" t="s">
        <v>35</v>
      </c>
      <c r="D10" s="5" t="s">
        <v>36</v>
      </c>
      <c r="E10" s="11" t="s">
        <v>103</v>
      </c>
      <c r="F10" s="11" t="s">
        <v>56</v>
      </c>
      <c r="G10" s="11" t="s">
        <v>57</v>
      </c>
      <c r="H10" s="9" t="s">
        <v>25</v>
      </c>
      <c r="I10" s="5"/>
      <c r="J10" s="5"/>
      <c r="K10" s="5" t="s">
        <v>30</v>
      </c>
      <c r="L10" s="16" t="s">
        <v>32</v>
      </c>
    </row>
    <row r="11" spans="1:12" ht="103.5" x14ac:dyDescent="0.3">
      <c r="A11" s="15">
        <v>10</v>
      </c>
      <c r="B11" s="5" t="s">
        <v>34</v>
      </c>
      <c r="C11" s="5" t="s">
        <v>35</v>
      </c>
      <c r="D11" s="5" t="s">
        <v>36</v>
      </c>
      <c r="E11" s="11" t="s">
        <v>103</v>
      </c>
      <c r="F11" s="11" t="s">
        <v>58</v>
      </c>
      <c r="G11" s="11" t="s">
        <v>59</v>
      </c>
      <c r="H11" s="9" t="s">
        <v>25</v>
      </c>
      <c r="I11" s="5"/>
      <c r="J11" s="5"/>
      <c r="K11" s="5" t="s">
        <v>30</v>
      </c>
      <c r="L11" s="4" t="s">
        <v>32</v>
      </c>
    </row>
    <row r="12" spans="1:12" ht="34.5" x14ac:dyDescent="0.3">
      <c r="A12" s="15">
        <v>11</v>
      </c>
      <c r="B12" s="5" t="s">
        <v>34</v>
      </c>
      <c r="C12" s="5" t="s">
        <v>35</v>
      </c>
      <c r="D12" s="5" t="s">
        <v>36</v>
      </c>
      <c r="E12" s="11" t="s">
        <v>103</v>
      </c>
      <c r="F12" s="11" t="s">
        <v>60</v>
      </c>
      <c r="G12" s="11" t="s">
        <v>61</v>
      </c>
      <c r="H12" s="9" t="s">
        <v>25</v>
      </c>
      <c r="I12" s="5"/>
      <c r="J12" s="5"/>
      <c r="K12" s="5" t="s">
        <v>30</v>
      </c>
      <c r="L12" s="16" t="s">
        <v>32</v>
      </c>
    </row>
    <row r="13" spans="1:12" ht="34.5" x14ac:dyDescent="0.3">
      <c r="A13" s="15">
        <v>12</v>
      </c>
      <c r="B13" s="5" t="s">
        <v>34</v>
      </c>
      <c r="C13" s="5" t="s">
        <v>35</v>
      </c>
      <c r="D13" s="5" t="s">
        <v>36</v>
      </c>
      <c r="E13" s="11" t="s">
        <v>103</v>
      </c>
      <c r="F13" s="11" t="s">
        <v>62</v>
      </c>
      <c r="G13" s="11" t="s">
        <v>51</v>
      </c>
      <c r="H13" s="9" t="s">
        <v>25</v>
      </c>
      <c r="I13" s="5"/>
      <c r="J13" s="5"/>
      <c r="K13" s="5" t="s">
        <v>30</v>
      </c>
      <c r="L13" s="4" t="s">
        <v>32</v>
      </c>
    </row>
    <row r="14" spans="1:12" ht="34.5" x14ac:dyDescent="0.3">
      <c r="A14" s="15">
        <v>13</v>
      </c>
      <c r="B14" s="5" t="s">
        <v>34</v>
      </c>
      <c r="C14" s="5" t="s">
        <v>35</v>
      </c>
      <c r="D14" s="5" t="s">
        <v>36</v>
      </c>
      <c r="E14" s="8" t="s">
        <v>103</v>
      </c>
      <c r="F14" s="11" t="s">
        <v>89</v>
      </c>
      <c r="G14" s="11" t="s">
        <v>51</v>
      </c>
      <c r="H14" s="9" t="s">
        <v>25</v>
      </c>
      <c r="I14" s="5"/>
      <c r="J14" s="5"/>
      <c r="K14" s="5" t="s">
        <v>30</v>
      </c>
      <c r="L14" s="16" t="s">
        <v>32</v>
      </c>
    </row>
    <row r="15" spans="1:12" ht="34.5" x14ac:dyDescent="0.3">
      <c r="A15" s="15">
        <v>14</v>
      </c>
      <c r="B15" s="5" t="s">
        <v>34</v>
      </c>
      <c r="C15" s="5" t="s">
        <v>35</v>
      </c>
      <c r="D15" s="5" t="s">
        <v>37</v>
      </c>
      <c r="E15" s="8" t="s">
        <v>102</v>
      </c>
      <c r="F15" s="8" t="s">
        <v>64</v>
      </c>
      <c r="G15" s="8" t="s">
        <v>65</v>
      </c>
      <c r="H15" s="9" t="s">
        <v>25</v>
      </c>
      <c r="I15" s="5"/>
      <c r="J15" s="5"/>
      <c r="K15" s="5" t="s">
        <v>30</v>
      </c>
      <c r="L15" s="4" t="s">
        <v>32</v>
      </c>
    </row>
    <row r="16" spans="1:12" ht="34.5" x14ac:dyDescent="0.3">
      <c r="A16" s="15">
        <v>15</v>
      </c>
      <c r="B16" s="5" t="s">
        <v>34</v>
      </c>
      <c r="C16" s="5" t="s">
        <v>35</v>
      </c>
      <c r="D16" s="3" t="s">
        <v>66</v>
      </c>
      <c r="E16" s="8" t="s">
        <v>102</v>
      </c>
      <c r="F16" s="8" t="s">
        <v>67</v>
      </c>
      <c r="G16" s="8" t="s">
        <v>69</v>
      </c>
      <c r="H16" s="9" t="s">
        <v>25</v>
      </c>
      <c r="I16" s="5"/>
      <c r="J16" s="5"/>
      <c r="K16" s="5" t="s">
        <v>30</v>
      </c>
      <c r="L16" s="16" t="s">
        <v>32</v>
      </c>
    </row>
    <row r="17" spans="1:12" ht="17.25" x14ac:dyDescent="0.3">
      <c r="A17" s="15">
        <v>16</v>
      </c>
      <c r="B17" s="5" t="s">
        <v>34</v>
      </c>
      <c r="C17" s="5" t="s">
        <v>35</v>
      </c>
      <c r="D17" s="3" t="s">
        <v>66</v>
      </c>
      <c r="E17" s="8" t="s">
        <v>102</v>
      </c>
      <c r="F17" s="8" t="s">
        <v>70</v>
      </c>
      <c r="G17" s="8" t="s">
        <v>71</v>
      </c>
      <c r="H17" s="9" t="s">
        <v>25</v>
      </c>
      <c r="I17" s="5"/>
      <c r="J17" s="5"/>
      <c r="K17" s="5" t="s">
        <v>30</v>
      </c>
      <c r="L17" s="4" t="s">
        <v>32</v>
      </c>
    </row>
    <row r="18" spans="1:12" ht="34.5" x14ac:dyDescent="0.3">
      <c r="A18" s="15">
        <v>17</v>
      </c>
      <c r="B18" s="5" t="s">
        <v>34</v>
      </c>
      <c r="C18" s="3" t="s">
        <v>72</v>
      </c>
      <c r="D18" s="3" t="s">
        <v>36</v>
      </c>
      <c r="E18" s="8" t="s">
        <v>102</v>
      </c>
      <c r="F18" s="8" t="s">
        <v>75</v>
      </c>
      <c r="G18" s="8" t="s">
        <v>76</v>
      </c>
      <c r="H18" s="9" t="s">
        <v>25</v>
      </c>
      <c r="I18" s="5"/>
      <c r="J18" s="5"/>
      <c r="K18" s="5" t="s">
        <v>30</v>
      </c>
      <c r="L18" s="16" t="s">
        <v>32</v>
      </c>
    </row>
    <row r="19" spans="1:12" ht="17.25" x14ac:dyDescent="0.3">
      <c r="A19" s="15">
        <v>18</v>
      </c>
      <c r="B19" s="5" t="s">
        <v>34</v>
      </c>
      <c r="C19" s="3" t="s">
        <v>72</v>
      </c>
      <c r="D19" s="3" t="s">
        <v>36</v>
      </c>
      <c r="E19" s="8" t="s">
        <v>102</v>
      </c>
      <c r="F19" s="8" t="s">
        <v>77</v>
      </c>
      <c r="G19" s="8" t="s">
        <v>78</v>
      </c>
      <c r="H19" s="9" t="s">
        <v>25</v>
      </c>
      <c r="I19" s="5"/>
      <c r="J19" s="5"/>
      <c r="K19" s="5" t="s">
        <v>30</v>
      </c>
      <c r="L19" s="4" t="s">
        <v>32</v>
      </c>
    </row>
    <row r="20" spans="1:12" ht="34.5" x14ac:dyDescent="0.3">
      <c r="A20" s="15">
        <v>19</v>
      </c>
      <c r="B20" s="5" t="s">
        <v>34</v>
      </c>
      <c r="C20" s="3" t="s">
        <v>72</v>
      </c>
      <c r="D20" s="3" t="s">
        <v>36</v>
      </c>
      <c r="E20" s="8" t="s">
        <v>106</v>
      </c>
      <c r="F20" s="8" t="s">
        <v>48</v>
      </c>
      <c r="G20" s="8" t="s">
        <v>49</v>
      </c>
      <c r="H20" s="9" t="s">
        <v>25</v>
      </c>
      <c r="I20" s="5"/>
      <c r="J20" s="5"/>
      <c r="K20" s="5" t="s">
        <v>30</v>
      </c>
      <c r="L20" s="16" t="s">
        <v>32</v>
      </c>
    </row>
    <row r="21" spans="1:12" ht="34.5" x14ac:dyDescent="0.3">
      <c r="A21" s="15">
        <v>20</v>
      </c>
      <c r="B21" s="5" t="s">
        <v>34</v>
      </c>
      <c r="C21" s="3" t="s">
        <v>72</v>
      </c>
      <c r="D21" s="3" t="s">
        <v>36</v>
      </c>
      <c r="E21" s="8" t="s">
        <v>106</v>
      </c>
      <c r="F21" s="8" t="s">
        <v>50</v>
      </c>
      <c r="G21" s="8" t="s">
        <v>79</v>
      </c>
      <c r="H21" s="9" t="s">
        <v>25</v>
      </c>
      <c r="I21" s="5"/>
      <c r="J21" s="5"/>
      <c r="K21" s="5" t="s">
        <v>30</v>
      </c>
      <c r="L21" s="4" t="s">
        <v>32</v>
      </c>
    </row>
    <row r="22" spans="1:12" ht="34.5" x14ac:dyDescent="0.3">
      <c r="A22" s="15">
        <v>21</v>
      </c>
      <c r="B22" s="5" t="s">
        <v>34</v>
      </c>
      <c r="C22" s="3" t="s">
        <v>72</v>
      </c>
      <c r="D22" s="3" t="s">
        <v>36</v>
      </c>
      <c r="E22" s="8" t="s">
        <v>106</v>
      </c>
      <c r="F22" s="8" t="s">
        <v>80</v>
      </c>
      <c r="G22" s="8" t="s">
        <v>76</v>
      </c>
      <c r="H22" s="9" t="s">
        <v>25</v>
      </c>
      <c r="I22" s="5"/>
      <c r="J22" s="5"/>
      <c r="K22" s="5" t="s">
        <v>30</v>
      </c>
      <c r="L22" s="16" t="s">
        <v>32</v>
      </c>
    </row>
    <row r="23" spans="1:12" ht="34.5" x14ac:dyDescent="0.3">
      <c r="A23" s="15">
        <v>22</v>
      </c>
      <c r="B23" s="5" t="s">
        <v>34</v>
      </c>
      <c r="C23" s="3" t="s">
        <v>72</v>
      </c>
      <c r="D23" s="3" t="s">
        <v>36</v>
      </c>
      <c r="E23" s="8" t="s">
        <v>106</v>
      </c>
      <c r="F23" s="8" t="s">
        <v>81</v>
      </c>
      <c r="G23" s="8" t="s">
        <v>82</v>
      </c>
      <c r="H23" s="9" t="s">
        <v>25</v>
      </c>
      <c r="I23" s="5"/>
      <c r="J23" s="5"/>
      <c r="K23" s="5" t="s">
        <v>30</v>
      </c>
      <c r="L23" s="4" t="s">
        <v>32</v>
      </c>
    </row>
    <row r="24" spans="1:12" ht="34.5" x14ac:dyDescent="0.3">
      <c r="A24" s="15">
        <v>23</v>
      </c>
      <c r="B24" s="5" t="s">
        <v>34</v>
      </c>
      <c r="C24" s="3" t="s">
        <v>72</v>
      </c>
      <c r="D24" s="3" t="s">
        <v>36</v>
      </c>
      <c r="E24" s="8" t="s">
        <v>106</v>
      </c>
      <c r="F24" s="8" t="s">
        <v>83</v>
      </c>
      <c r="G24" s="8" t="s">
        <v>84</v>
      </c>
      <c r="H24" s="9" t="s">
        <v>25</v>
      </c>
      <c r="I24" s="5"/>
      <c r="J24" s="5"/>
      <c r="K24" s="5" t="s">
        <v>30</v>
      </c>
      <c r="L24" s="16" t="s">
        <v>32</v>
      </c>
    </row>
    <row r="25" spans="1:12" ht="34.5" x14ac:dyDescent="0.3">
      <c r="A25" s="15">
        <v>24</v>
      </c>
      <c r="B25" s="5" t="s">
        <v>34</v>
      </c>
      <c r="C25" s="3" t="s">
        <v>72</v>
      </c>
      <c r="D25" s="3" t="s">
        <v>36</v>
      </c>
      <c r="E25" s="8" t="s">
        <v>106</v>
      </c>
      <c r="F25" s="8" t="s">
        <v>85</v>
      </c>
      <c r="G25" s="8" t="s">
        <v>86</v>
      </c>
      <c r="H25" s="9" t="s">
        <v>25</v>
      </c>
      <c r="I25" s="5"/>
      <c r="J25" s="5"/>
      <c r="K25" s="5" t="s">
        <v>30</v>
      </c>
      <c r="L25" s="4" t="s">
        <v>32</v>
      </c>
    </row>
    <row r="26" spans="1:12" ht="51.75" x14ac:dyDescent="0.3">
      <c r="A26" s="15">
        <v>25</v>
      </c>
      <c r="B26" s="5" t="s">
        <v>34</v>
      </c>
      <c r="C26" s="3" t="s">
        <v>72</v>
      </c>
      <c r="D26" s="3" t="s">
        <v>36</v>
      </c>
      <c r="E26" s="8" t="s">
        <v>106</v>
      </c>
      <c r="F26" s="8" t="s">
        <v>87</v>
      </c>
      <c r="G26" s="8" t="s">
        <v>88</v>
      </c>
      <c r="H26" s="9" t="s">
        <v>25</v>
      </c>
      <c r="I26" s="5"/>
      <c r="J26" s="5"/>
      <c r="K26" s="5" t="s">
        <v>30</v>
      </c>
      <c r="L26" s="16" t="s">
        <v>32</v>
      </c>
    </row>
    <row r="27" spans="1:12" ht="34.5" x14ac:dyDescent="0.3">
      <c r="A27" s="15">
        <v>26</v>
      </c>
      <c r="B27" s="5" t="s">
        <v>34</v>
      </c>
      <c r="C27" s="3" t="s">
        <v>72</v>
      </c>
      <c r="D27" s="3" t="s">
        <v>36</v>
      </c>
      <c r="E27" s="8" t="s">
        <v>106</v>
      </c>
      <c r="F27" s="8" t="s">
        <v>60</v>
      </c>
      <c r="G27" s="8" t="s">
        <v>61</v>
      </c>
      <c r="H27" s="9" t="s">
        <v>25</v>
      </c>
      <c r="I27" s="5"/>
      <c r="J27" s="5"/>
      <c r="K27" s="5" t="s">
        <v>30</v>
      </c>
      <c r="L27" s="4" t="s">
        <v>32</v>
      </c>
    </row>
    <row r="28" spans="1:12" ht="34.5" x14ac:dyDescent="0.3">
      <c r="A28" s="15">
        <v>27</v>
      </c>
      <c r="B28" s="5" t="s">
        <v>34</v>
      </c>
      <c r="C28" s="3" t="s">
        <v>72</v>
      </c>
      <c r="D28" s="3" t="s">
        <v>36</v>
      </c>
      <c r="E28" s="8" t="s">
        <v>106</v>
      </c>
      <c r="F28" s="8" t="s">
        <v>62</v>
      </c>
      <c r="G28" s="8" t="s">
        <v>79</v>
      </c>
      <c r="H28" s="9" t="s">
        <v>25</v>
      </c>
      <c r="I28" s="5"/>
      <c r="J28" s="5"/>
      <c r="K28" s="5" t="s">
        <v>30</v>
      </c>
      <c r="L28" s="16" t="s">
        <v>32</v>
      </c>
    </row>
    <row r="29" spans="1:12" ht="34.5" x14ac:dyDescent="0.3">
      <c r="A29" s="15">
        <v>28</v>
      </c>
      <c r="B29" s="5" t="s">
        <v>34</v>
      </c>
      <c r="C29" s="3" t="s">
        <v>72</v>
      </c>
      <c r="D29" s="3" t="s">
        <v>36</v>
      </c>
      <c r="E29" s="8" t="s">
        <v>106</v>
      </c>
      <c r="F29" s="8" t="s">
        <v>90</v>
      </c>
      <c r="G29" s="8" t="s">
        <v>79</v>
      </c>
      <c r="H29" s="9" t="s">
        <v>25</v>
      </c>
      <c r="I29" s="5"/>
      <c r="J29" s="5"/>
      <c r="K29" s="5" t="s">
        <v>30</v>
      </c>
      <c r="L29" s="4" t="s">
        <v>32</v>
      </c>
    </row>
    <row r="30" spans="1:12" ht="34.5" x14ac:dyDescent="0.3">
      <c r="A30" s="15">
        <v>29</v>
      </c>
      <c r="B30" s="5" t="s">
        <v>34</v>
      </c>
      <c r="C30" s="3" t="s">
        <v>72</v>
      </c>
      <c r="D30" s="5" t="s">
        <v>37</v>
      </c>
      <c r="E30" s="8" t="s">
        <v>102</v>
      </c>
      <c r="F30" s="8" t="s">
        <v>91</v>
      </c>
      <c r="G30" s="8" t="s">
        <v>92</v>
      </c>
      <c r="H30" s="9" t="s">
        <v>25</v>
      </c>
      <c r="I30" s="5"/>
      <c r="J30" s="5"/>
      <c r="K30" s="5" t="s">
        <v>30</v>
      </c>
      <c r="L30" s="16" t="s">
        <v>32</v>
      </c>
    </row>
    <row r="31" spans="1:12" ht="34.5" x14ac:dyDescent="0.3">
      <c r="A31" s="15">
        <v>30</v>
      </c>
      <c r="B31" s="3" t="s">
        <v>107</v>
      </c>
      <c r="C31" s="3" t="s">
        <v>36</v>
      </c>
      <c r="D31" s="3"/>
      <c r="E31" s="8" t="s">
        <v>102</v>
      </c>
      <c r="F31" s="8" t="s">
        <v>108</v>
      </c>
      <c r="G31" s="8" t="s">
        <v>109</v>
      </c>
      <c r="H31" s="9" t="s">
        <v>25</v>
      </c>
      <c r="I31" s="5"/>
      <c r="J31" s="5"/>
      <c r="K31" s="5" t="s">
        <v>30</v>
      </c>
      <c r="L31" s="4" t="s">
        <v>32</v>
      </c>
    </row>
    <row r="32" spans="1:12" ht="17.25" x14ac:dyDescent="0.3">
      <c r="A32" s="15">
        <v>31</v>
      </c>
      <c r="B32" s="3" t="s">
        <v>107</v>
      </c>
      <c r="C32" s="3" t="s">
        <v>36</v>
      </c>
      <c r="D32" s="3"/>
      <c r="E32" s="8" t="s">
        <v>102</v>
      </c>
      <c r="F32" s="8" t="s">
        <v>110</v>
      </c>
      <c r="G32" s="8" t="s">
        <v>111</v>
      </c>
      <c r="H32" s="9" t="s">
        <v>25</v>
      </c>
      <c r="I32" s="5"/>
      <c r="J32" s="5"/>
      <c r="K32" s="5" t="s">
        <v>30</v>
      </c>
      <c r="L32" s="16" t="s">
        <v>32</v>
      </c>
    </row>
    <row r="33" spans="1:12" ht="34.5" x14ac:dyDescent="0.3">
      <c r="A33" s="15">
        <v>32</v>
      </c>
      <c r="B33" s="3" t="s">
        <v>107</v>
      </c>
      <c r="C33" s="3" t="s">
        <v>36</v>
      </c>
      <c r="D33" s="3"/>
      <c r="E33" s="8" t="s">
        <v>112</v>
      </c>
      <c r="F33" s="8" t="s">
        <v>116</v>
      </c>
      <c r="G33" s="8" t="s">
        <v>109</v>
      </c>
      <c r="H33" s="9" t="s">
        <v>25</v>
      </c>
      <c r="I33" s="5"/>
      <c r="J33" s="5"/>
      <c r="K33" s="5" t="s">
        <v>30</v>
      </c>
      <c r="L33" s="4" t="s">
        <v>32</v>
      </c>
    </row>
    <row r="34" spans="1:12" ht="34.5" x14ac:dyDescent="0.3">
      <c r="A34" s="15">
        <v>33</v>
      </c>
      <c r="B34" s="3" t="s">
        <v>107</v>
      </c>
      <c r="C34" s="3" t="s">
        <v>36</v>
      </c>
      <c r="D34" s="5"/>
      <c r="E34" s="8" t="s">
        <v>112</v>
      </c>
      <c r="F34" s="8" t="s">
        <v>113</v>
      </c>
      <c r="G34" s="8" t="s">
        <v>114</v>
      </c>
      <c r="H34" s="9" t="s">
        <v>25</v>
      </c>
      <c r="I34" s="5"/>
      <c r="J34" s="5"/>
      <c r="K34" s="5" t="s">
        <v>30</v>
      </c>
      <c r="L34" s="16" t="s">
        <v>32</v>
      </c>
    </row>
    <row r="35" spans="1:12" ht="34.5" x14ac:dyDescent="0.3">
      <c r="A35" s="15">
        <v>34</v>
      </c>
      <c r="B35" s="3" t="s">
        <v>107</v>
      </c>
      <c r="C35" s="3" t="s">
        <v>36</v>
      </c>
      <c r="D35" s="5"/>
      <c r="E35" s="8" t="s">
        <v>112</v>
      </c>
      <c r="F35" s="8" t="s">
        <v>48</v>
      </c>
      <c r="G35" s="8" t="s">
        <v>49</v>
      </c>
      <c r="H35" s="9" t="s">
        <v>25</v>
      </c>
      <c r="I35" s="5"/>
      <c r="J35" s="5"/>
      <c r="K35" s="5" t="s">
        <v>30</v>
      </c>
      <c r="L35" s="4" t="s">
        <v>32</v>
      </c>
    </row>
    <row r="36" spans="1:12" ht="34.5" x14ac:dyDescent="0.3">
      <c r="A36" s="15">
        <v>35</v>
      </c>
      <c r="B36" s="3" t="s">
        <v>107</v>
      </c>
      <c r="C36" s="3" t="s">
        <v>36</v>
      </c>
      <c r="D36" s="5"/>
      <c r="E36" s="8" t="s">
        <v>112</v>
      </c>
      <c r="F36" s="8" t="s">
        <v>50</v>
      </c>
      <c r="G36" s="8" t="s">
        <v>115</v>
      </c>
      <c r="H36" s="9" t="s">
        <v>25</v>
      </c>
      <c r="I36" s="5"/>
      <c r="J36" s="5"/>
      <c r="K36" s="5" t="s">
        <v>30</v>
      </c>
      <c r="L36" s="16" t="s">
        <v>32</v>
      </c>
    </row>
    <row r="37" spans="1:12" ht="34.5" x14ac:dyDescent="0.3">
      <c r="A37" s="15">
        <v>36</v>
      </c>
      <c r="B37" s="3" t="s">
        <v>107</v>
      </c>
      <c r="C37" s="3" t="s">
        <v>36</v>
      </c>
      <c r="D37" s="5"/>
      <c r="E37" s="8" t="s">
        <v>112</v>
      </c>
      <c r="F37" s="8" t="s">
        <v>117</v>
      </c>
      <c r="G37" s="8" t="s">
        <v>118</v>
      </c>
      <c r="H37" s="9" t="s">
        <v>25</v>
      </c>
      <c r="I37" s="5"/>
      <c r="J37" s="5"/>
      <c r="K37" s="5" t="s">
        <v>30</v>
      </c>
      <c r="L37" s="4" t="s">
        <v>32</v>
      </c>
    </row>
    <row r="38" spans="1:12" ht="34.5" x14ac:dyDescent="0.3">
      <c r="A38" s="15">
        <v>37</v>
      </c>
      <c r="B38" s="3" t="s">
        <v>107</v>
      </c>
      <c r="C38" s="3" t="s">
        <v>36</v>
      </c>
      <c r="D38" s="5"/>
      <c r="E38" s="8" t="s">
        <v>112</v>
      </c>
      <c r="F38" s="8" t="s">
        <v>119</v>
      </c>
      <c r="G38" s="8" t="s">
        <v>120</v>
      </c>
      <c r="H38" s="9" t="s">
        <v>25</v>
      </c>
      <c r="I38" s="5"/>
      <c r="J38" s="5"/>
      <c r="K38" s="5" t="s">
        <v>30</v>
      </c>
      <c r="L38" s="16" t="s">
        <v>32</v>
      </c>
    </row>
    <row r="39" spans="1:12" ht="34.5" x14ac:dyDescent="0.3">
      <c r="A39" s="15">
        <v>38</v>
      </c>
      <c r="B39" s="3" t="s">
        <v>107</v>
      </c>
      <c r="C39" s="3" t="s">
        <v>36</v>
      </c>
      <c r="D39" s="5"/>
      <c r="E39" s="8" t="s">
        <v>112</v>
      </c>
      <c r="F39" s="8" t="s">
        <v>121</v>
      </c>
      <c r="G39" s="8" t="s">
        <v>122</v>
      </c>
      <c r="H39" s="9" t="s">
        <v>25</v>
      </c>
      <c r="I39" s="5"/>
      <c r="J39" s="5"/>
      <c r="K39" s="5" t="s">
        <v>30</v>
      </c>
      <c r="L39" s="4" t="s">
        <v>32</v>
      </c>
    </row>
    <row r="40" spans="1:12" ht="34.5" x14ac:dyDescent="0.3">
      <c r="A40" s="15">
        <v>39</v>
      </c>
      <c r="B40" s="3" t="s">
        <v>107</v>
      </c>
      <c r="C40" s="3" t="s">
        <v>36</v>
      </c>
      <c r="D40" s="5"/>
      <c r="E40" s="8" t="s">
        <v>112</v>
      </c>
      <c r="F40" s="8" t="s">
        <v>123</v>
      </c>
      <c r="G40" s="8" t="s">
        <v>124</v>
      </c>
      <c r="H40" s="9" t="s">
        <v>25</v>
      </c>
      <c r="I40" s="5"/>
      <c r="J40" s="5"/>
      <c r="K40" s="5" t="s">
        <v>30</v>
      </c>
      <c r="L40" s="16" t="s">
        <v>32</v>
      </c>
    </row>
    <row r="41" spans="1:12" ht="34.5" x14ac:dyDescent="0.3">
      <c r="A41" s="20">
        <v>40</v>
      </c>
      <c r="B41" s="3" t="s">
        <v>107</v>
      </c>
      <c r="C41" s="3" t="s">
        <v>36</v>
      </c>
      <c r="D41" s="3"/>
      <c r="E41" s="8" t="s">
        <v>112</v>
      </c>
      <c r="F41" s="6" t="s">
        <v>125</v>
      </c>
      <c r="G41" s="6" t="s">
        <v>126</v>
      </c>
      <c r="H41" s="9" t="s">
        <v>25</v>
      </c>
      <c r="I41" s="3"/>
      <c r="J41" s="3"/>
      <c r="K41" s="3" t="s">
        <v>30</v>
      </c>
      <c r="L41" s="2" t="s">
        <v>32</v>
      </c>
    </row>
    <row r="42" spans="1:12" ht="69" x14ac:dyDescent="0.3">
      <c r="A42" s="15">
        <v>41</v>
      </c>
      <c r="B42" s="3" t="s">
        <v>107</v>
      </c>
      <c r="C42" s="3" t="s">
        <v>36</v>
      </c>
      <c r="D42" s="5"/>
      <c r="E42" s="8" t="s">
        <v>128</v>
      </c>
      <c r="F42" s="8" t="s">
        <v>129</v>
      </c>
      <c r="G42" s="8" t="s">
        <v>130</v>
      </c>
      <c r="H42" s="9" t="s">
        <v>25</v>
      </c>
      <c r="I42" s="5"/>
      <c r="J42" s="5"/>
      <c r="K42" s="5" t="s">
        <v>30</v>
      </c>
      <c r="L42" s="16" t="s">
        <v>32</v>
      </c>
    </row>
    <row r="43" spans="1:12" ht="69" x14ac:dyDescent="0.3">
      <c r="A43" s="20">
        <v>42</v>
      </c>
      <c r="B43" s="3" t="s">
        <v>107</v>
      </c>
      <c r="C43" s="3" t="s">
        <v>36</v>
      </c>
      <c r="D43" s="5"/>
      <c r="E43" s="8" t="s">
        <v>127</v>
      </c>
      <c r="F43" s="8" t="s">
        <v>131</v>
      </c>
      <c r="G43" s="8" t="s">
        <v>132</v>
      </c>
      <c r="H43" s="9" t="s">
        <v>25</v>
      </c>
      <c r="I43" s="5"/>
      <c r="J43" s="5"/>
      <c r="K43" s="5" t="s">
        <v>30</v>
      </c>
      <c r="L43" s="2" t="s">
        <v>32</v>
      </c>
    </row>
    <row r="44" spans="1:12" ht="69" x14ac:dyDescent="0.3">
      <c r="A44" s="15">
        <v>43</v>
      </c>
      <c r="B44" s="3" t="s">
        <v>107</v>
      </c>
      <c r="C44" s="3" t="s">
        <v>36</v>
      </c>
      <c r="D44" s="5"/>
      <c r="E44" s="8" t="s">
        <v>142</v>
      </c>
      <c r="F44" s="8" t="s">
        <v>133</v>
      </c>
      <c r="G44" s="8" t="s">
        <v>134</v>
      </c>
      <c r="H44" s="9" t="s">
        <v>25</v>
      </c>
      <c r="I44" s="5"/>
      <c r="J44" s="5"/>
      <c r="K44" s="3" t="s">
        <v>30</v>
      </c>
      <c r="L44" s="16" t="s">
        <v>32</v>
      </c>
    </row>
    <row r="45" spans="1:12" ht="69" x14ac:dyDescent="0.3">
      <c r="A45" s="20">
        <v>44</v>
      </c>
      <c r="B45" s="3" t="s">
        <v>107</v>
      </c>
      <c r="C45" s="3" t="s">
        <v>36</v>
      </c>
      <c r="D45" s="5"/>
      <c r="E45" s="8" t="s">
        <v>142</v>
      </c>
      <c r="F45" s="8" t="s">
        <v>135</v>
      </c>
      <c r="G45" s="8" t="s">
        <v>136</v>
      </c>
      <c r="H45" s="9" t="s">
        <v>25</v>
      </c>
      <c r="I45" s="5"/>
      <c r="J45" s="5"/>
      <c r="K45" s="5" t="s">
        <v>30</v>
      </c>
      <c r="L45" s="2" t="s">
        <v>32</v>
      </c>
    </row>
    <row r="46" spans="1:12" ht="86.25" x14ac:dyDescent="0.3">
      <c r="A46" s="15">
        <v>45</v>
      </c>
      <c r="B46" s="3" t="s">
        <v>107</v>
      </c>
      <c r="C46" s="3" t="s">
        <v>36</v>
      </c>
      <c r="D46" s="5"/>
      <c r="E46" s="8" t="s">
        <v>141</v>
      </c>
      <c r="F46" s="8" t="s">
        <v>138</v>
      </c>
      <c r="G46" s="8" t="s">
        <v>137</v>
      </c>
      <c r="H46" s="9" t="s">
        <v>25</v>
      </c>
      <c r="I46" s="5"/>
      <c r="J46" s="5"/>
      <c r="K46" s="5" t="s">
        <v>30</v>
      </c>
      <c r="L46" s="16" t="s">
        <v>32</v>
      </c>
    </row>
    <row r="47" spans="1:12" ht="86.25" x14ac:dyDescent="0.3">
      <c r="A47" s="20">
        <v>46</v>
      </c>
      <c r="B47" s="3" t="s">
        <v>107</v>
      </c>
      <c r="C47" s="3" t="s">
        <v>36</v>
      </c>
      <c r="D47" s="3"/>
      <c r="E47" s="8" t="s">
        <v>141</v>
      </c>
      <c r="F47" s="6" t="s">
        <v>139</v>
      </c>
      <c r="G47" s="6" t="s">
        <v>140</v>
      </c>
      <c r="H47" s="9" t="s">
        <v>25</v>
      </c>
      <c r="I47" s="3"/>
      <c r="J47" s="3"/>
      <c r="K47" s="3" t="s">
        <v>30</v>
      </c>
      <c r="L47" s="2" t="s">
        <v>32</v>
      </c>
    </row>
    <row r="48" spans="1:12" ht="86.25" x14ac:dyDescent="0.3">
      <c r="A48" s="15">
        <v>47</v>
      </c>
      <c r="B48" s="3" t="s">
        <v>107</v>
      </c>
      <c r="C48" s="3" t="s">
        <v>36</v>
      </c>
      <c r="D48" s="3"/>
      <c r="E48" s="6" t="s">
        <v>143</v>
      </c>
      <c r="F48" s="6" t="s">
        <v>144</v>
      </c>
      <c r="G48" s="6" t="s">
        <v>145</v>
      </c>
      <c r="H48" s="21" t="s">
        <v>25</v>
      </c>
      <c r="I48" s="3"/>
      <c r="J48" s="3"/>
      <c r="K48" s="5" t="s">
        <v>30</v>
      </c>
      <c r="L48" s="16" t="s">
        <v>32</v>
      </c>
    </row>
    <row r="49" spans="1:12" ht="86.25" x14ac:dyDescent="0.3">
      <c r="A49" s="20">
        <v>48</v>
      </c>
      <c r="B49" s="3" t="s">
        <v>107</v>
      </c>
      <c r="C49" s="3" t="s">
        <v>36</v>
      </c>
      <c r="D49" s="3"/>
      <c r="E49" s="6" t="s">
        <v>143</v>
      </c>
      <c r="F49" s="6" t="s">
        <v>146</v>
      </c>
      <c r="G49" s="6" t="s">
        <v>147</v>
      </c>
      <c r="H49" s="21" t="s">
        <v>25</v>
      </c>
      <c r="I49" s="3"/>
      <c r="J49" s="3"/>
      <c r="K49" s="5" t="s">
        <v>30</v>
      </c>
      <c r="L49" s="2" t="s">
        <v>32</v>
      </c>
    </row>
    <row r="50" spans="1:12" ht="51.75" x14ac:dyDescent="0.3">
      <c r="A50" s="15">
        <v>49</v>
      </c>
      <c r="B50" s="3" t="s">
        <v>107</v>
      </c>
      <c r="C50" s="3" t="s">
        <v>36</v>
      </c>
      <c r="D50" s="3"/>
      <c r="E50" s="6" t="s">
        <v>127</v>
      </c>
      <c r="F50" s="6" t="s">
        <v>148</v>
      </c>
      <c r="G50" s="6" t="s">
        <v>149</v>
      </c>
      <c r="H50" s="21" t="s">
        <v>25</v>
      </c>
      <c r="I50" s="3"/>
      <c r="J50" s="3"/>
      <c r="K50" s="5" t="s">
        <v>30</v>
      </c>
      <c r="L50" s="16" t="s">
        <v>32</v>
      </c>
    </row>
    <row r="51" spans="1:12" ht="34.5" x14ac:dyDescent="0.3">
      <c r="A51" s="20">
        <v>50</v>
      </c>
      <c r="B51" s="3" t="s">
        <v>107</v>
      </c>
      <c r="C51" s="3" t="s">
        <v>36</v>
      </c>
      <c r="D51" s="3"/>
      <c r="E51" s="6" t="s">
        <v>112</v>
      </c>
      <c r="F51" s="6" t="s">
        <v>150</v>
      </c>
      <c r="G51" s="6" t="s">
        <v>151</v>
      </c>
      <c r="H51" s="21" t="s">
        <v>25</v>
      </c>
      <c r="I51" s="3"/>
      <c r="J51" s="3"/>
      <c r="K51" s="5" t="s">
        <v>30</v>
      </c>
      <c r="L51" s="2" t="s">
        <v>32</v>
      </c>
    </row>
    <row r="52" spans="1:12" ht="34.5" x14ac:dyDescent="0.3">
      <c r="A52" s="15">
        <v>51</v>
      </c>
      <c r="B52" s="3" t="s">
        <v>107</v>
      </c>
      <c r="C52" s="3" t="s">
        <v>36</v>
      </c>
      <c r="D52" s="3"/>
      <c r="E52" s="6" t="s">
        <v>112</v>
      </c>
      <c r="F52" s="6" t="s">
        <v>152</v>
      </c>
      <c r="G52" s="6" t="s">
        <v>153</v>
      </c>
      <c r="H52" s="21" t="s">
        <v>27</v>
      </c>
      <c r="I52" s="3"/>
      <c r="J52" s="3"/>
      <c r="K52" s="5" t="s">
        <v>30</v>
      </c>
      <c r="L52" s="16" t="s">
        <v>32</v>
      </c>
    </row>
    <row r="53" spans="1:12" ht="51.75" x14ac:dyDescent="0.3">
      <c r="A53" s="20">
        <v>52</v>
      </c>
      <c r="B53" s="3" t="s">
        <v>107</v>
      </c>
      <c r="C53" s="3" t="s">
        <v>36</v>
      </c>
      <c r="D53" s="3"/>
      <c r="E53" s="6" t="s">
        <v>167</v>
      </c>
      <c r="F53" s="6" t="s">
        <v>166</v>
      </c>
      <c r="G53" s="6" t="s">
        <v>168</v>
      </c>
      <c r="H53" s="21" t="s">
        <v>25</v>
      </c>
      <c r="I53" s="3"/>
      <c r="J53" s="3"/>
      <c r="K53" s="5" t="s">
        <v>30</v>
      </c>
      <c r="L53" s="2" t="s">
        <v>32</v>
      </c>
    </row>
    <row r="54" spans="1:12" ht="51.75" x14ac:dyDescent="0.3">
      <c r="A54" s="15">
        <v>53</v>
      </c>
      <c r="B54" s="3" t="s">
        <v>107</v>
      </c>
      <c r="C54" s="3" t="s">
        <v>36</v>
      </c>
      <c r="D54" s="3"/>
      <c r="E54" s="6" t="s">
        <v>127</v>
      </c>
      <c r="F54" s="6" t="s">
        <v>154</v>
      </c>
      <c r="G54" s="6" t="s">
        <v>155</v>
      </c>
      <c r="H54" s="21" t="s">
        <v>25</v>
      </c>
      <c r="I54" s="3"/>
      <c r="J54" s="3"/>
      <c r="K54" s="5" t="s">
        <v>30</v>
      </c>
      <c r="L54" s="2" t="s">
        <v>32</v>
      </c>
    </row>
    <row r="55" spans="1:12" ht="69" x14ac:dyDescent="0.3">
      <c r="A55" s="20">
        <v>54</v>
      </c>
      <c r="B55" s="3" t="s">
        <v>107</v>
      </c>
      <c r="C55" s="3" t="s">
        <v>36</v>
      </c>
      <c r="D55" s="3"/>
      <c r="E55" s="6" t="s">
        <v>156</v>
      </c>
      <c r="F55" s="6" t="s">
        <v>157</v>
      </c>
      <c r="G55" s="6" t="s">
        <v>158</v>
      </c>
      <c r="H55" s="21" t="s">
        <v>25</v>
      </c>
      <c r="I55" s="3"/>
      <c r="J55" s="3"/>
      <c r="K55" s="5" t="s">
        <v>30</v>
      </c>
      <c r="L55" s="16" t="s">
        <v>32</v>
      </c>
    </row>
    <row r="56" spans="1:12" ht="69" x14ac:dyDescent="0.3">
      <c r="A56" s="15">
        <v>55</v>
      </c>
      <c r="B56" s="3" t="s">
        <v>107</v>
      </c>
      <c r="C56" s="3" t="s">
        <v>36</v>
      </c>
      <c r="D56" s="3"/>
      <c r="E56" s="6" t="s">
        <v>156</v>
      </c>
      <c r="F56" s="6" t="s">
        <v>159</v>
      </c>
      <c r="G56" s="6" t="s">
        <v>160</v>
      </c>
      <c r="H56" s="21" t="s">
        <v>25</v>
      </c>
      <c r="I56" s="3"/>
      <c r="J56" s="3"/>
      <c r="K56" s="5" t="s">
        <v>30</v>
      </c>
      <c r="L56" s="2" t="s">
        <v>32</v>
      </c>
    </row>
    <row r="57" spans="1:12" ht="69" x14ac:dyDescent="0.3">
      <c r="A57" s="20">
        <v>56</v>
      </c>
      <c r="B57" s="3" t="s">
        <v>107</v>
      </c>
      <c r="C57" s="3" t="s">
        <v>36</v>
      </c>
      <c r="D57" s="3"/>
      <c r="E57" s="6" t="s">
        <v>156</v>
      </c>
      <c r="F57" s="6" t="s">
        <v>161</v>
      </c>
      <c r="G57" s="6" t="s">
        <v>61</v>
      </c>
      <c r="H57" s="21" t="s">
        <v>25</v>
      </c>
      <c r="I57" s="3"/>
      <c r="J57" s="3"/>
      <c r="K57" s="5" t="s">
        <v>30</v>
      </c>
      <c r="L57" s="16" t="s">
        <v>32</v>
      </c>
    </row>
    <row r="58" spans="1:12" ht="69" x14ac:dyDescent="0.3">
      <c r="A58" s="15">
        <v>57</v>
      </c>
      <c r="B58" s="3" t="s">
        <v>107</v>
      </c>
      <c r="C58" s="3" t="s">
        <v>36</v>
      </c>
      <c r="D58" s="3"/>
      <c r="E58" s="6" t="s">
        <v>156</v>
      </c>
      <c r="F58" s="6" t="s">
        <v>62</v>
      </c>
      <c r="G58" s="6" t="s">
        <v>162</v>
      </c>
      <c r="H58" s="21" t="s">
        <v>25</v>
      </c>
      <c r="I58" s="3"/>
      <c r="J58" s="3"/>
      <c r="K58" s="5" t="s">
        <v>30</v>
      </c>
      <c r="L58" s="2" t="s">
        <v>32</v>
      </c>
    </row>
    <row r="59" spans="1:12" ht="51.75" x14ac:dyDescent="0.3">
      <c r="A59" s="20">
        <v>58</v>
      </c>
      <c r="B59" s="3" t="s">
        <v>107</v>
      </c>
      <c r="C59" s="3" t="s">
        <v>36</v>
      </c>
      <c r="D59" s="3"/>
      <c r="E59" s="6" t="s">
        <v>163</v>
      </c>
      <c r="F59" s="6" t="s">
        <v>164</v>
      </c>
      <c r="G59" s="6" t="s">
        <v>165</v>
      </c>
      <c r="H59" s="21" t="s">
        <v>25</v>
      </c>
      <c r="I59" s="3"/>
      <c r="J59" s="3"/>
      <c r="K59" s="5" t="s">
        <v>30</v>
      </c>
      <c r="L59" s="16" t="s">
        <v>32</v>
      </c>
    </row>
    <row r="60" spans="1:12" ht="34.5" x14ac:dyDescent="0.3">
      <c r="A60" s="15">
        <v>59</v>
      </c>
      <c r="B60" s="3" t="s">
        <v>107</v>
      </c>
      <c r="C60" s="3"/>
      <c r="D60" s="3"/>
      <c r="E60" s="6" t="s">
        <v>112</v>
      </c>
      <c r="F60" s="6" t="s">
        <v>169</v>
      </c>
      <c r="G60" s="6" t="s">
        <v>115</v>
      </c>
      <c r="H60" s="21" t="s">
        <v>25</v>
      </c>
      <c r="I60" s="3"/>
      <c r="J60" s="3"/>
      <c r="K60" s="3"/>
      <c r="L60" s="2"/>
    </row>
  </sheetData>
  <phoneticPr fontId="1" type="noConversion"/>
  <conditionalFormatting sqref="H2:H60">
    <cfRule type="cellIs" dxfId="11" priority="6" operator="equal">
      <formula>"Not Test"</formula>
    </cfRule>
    <cfRule type="cellIs" dxfId="10" priority="7" operator="equal">
      <formula>"N/A"</formula>
    </cfRule>
    <cfRule type="cellIs" dxfId="9" priority="8" operator="equal">
      <formula>"Block"</formula>
    </cfRule>
    <cfRule type="cellIs" dxfId="8" priority="9" operator="equal">
      <formula>"Fail"</formula>
    </cfRule>
    <cfRule type="cellIs" dxfId="7" priority="10" operator="equal">
      <formula>"Pass"</formula>
    </cfRule>
  </conditionalFormatting>
  <conditionalFormatting sqref="B2:D44 C61:D1048576 D55:D59 D45:D53 C45:C59 B45:B200">
    <cfRule type="expression" dxfId="6" priority="5">
      <formula>B2=B1</formula>
    </cfRule>
  </conditionalFormatting>
  <conditionalFormatting sqref="C2:D14 C15:C17 C31:D41 C42:C59">
    <cfRule type="expression" dxfId="5" priority="4">
      <formula>C2=C1</formula>
    </cfRule>
  </conditionalFormatting>
  <conditionalFormatting sqref="D15:D17">
    <cfRule type="expression" dxfId="4" priority="3">
      <formula>D15=D14</formula>
    </cfRule>
  </conditionalFormatting>
  <conditionalFormatting sqref="C18:D30">
    <cfRule type="expression" dxfId="3" priority="2">
      <formula>C18=C17</formula>
    </cfRule>
  </conditionalFormatting>
  <conditionalFormatting sqref="D54">
    <cfRule type="expression" dxfId="2" priority="15">
      <formula>D54=D52</formula>
    </cfRule>
  </conditionalFormatting>
  <conditionalFormatting sqref="D53">
    <cfRule type="expression" dxfId="1" priority="23">
      <formula>D53=D59</formula>
    </cfRule>
  </conditionalFormatting>
  <conditionalFormatting sqref="C60:D60">
    <cfRule type="expression" dxfId="0" priority="24">
      <formula>C60=C53</formula>
    </cfRule>
  </conditionalFormatting>
  <dataValidations count="1">
    <dataValidation type="list" allowBlank="1" showInputMessage="1" showErrorMessage="1" sqref="H2:H60" xr:uid="{A3A6AE3E-E885-4275-B2F1-82DCB8B5D5D5}">
      <formula1>"Pass,Fail,Not Test,N/A,Block"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로비</vt:lpstr>
      <vt:lpstr>이벤트페이지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강형민</dc:creator>
  <cp:lastModifiedBy>강형민</cp:lastModifiedBy>
  <dcterms:created xsi:type="dcterms:W3CDTF">2026-07-07T10:18:05Z</dcterms:created>
  <dcterms:modified xsi:type="dcterms:W3CDTF">2026-07-10T06:45:25Z</dcterms:modified>
</cp:coreProperties>
</file>